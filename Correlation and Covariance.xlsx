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8_{CB9E0C05-B1F2-C947-9769-CCE3C03E6C4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5" i="1" l="1"/>
  <c r="H135" i="1"/>
  <c r="H137" i="1"/>
  <c r="G135" i="1"/>
  <c r="F135" i="1"/>
  <c r="E135" i="1"/>
  <c r="D135" i="1"/>
  <c r="H138" i="1"/>
  <c r="H100" i="1"/>
  <c r="G100" i="1"/>
  <c r="C100" i="1"/>
  <c r="D100" i="1"/>
  <c r="E100" i="1"/>
  <c r="F100" i="1"/>
  <c r="H103" i="1"/>
  <c r="H102" i="1"/>
  <c r="H79" i="1"/>
  <c r="H78" i="1"/>
  <c r="C76" i="1"/>
  <c r="D76" i="1"/>
  <c r="E76" i="1"/>
  <c r="F76" i="1"/>
  <c r="G76" i="1"/>
  <c r="H76" i="1"/>
  <c r="C54" i="1"/>
  <c r="D54" i="1"/>
  <c r="E54" i="1"/>
  <c r="F54" i="1"/>
  <c r="G54" i="1"/>
</calcChain>
</file>

<file path=xl/sharedStrings.xml><?xml version="1.0" encoding="utf-8"?>
<sst xmlns="http://schemas.openxmlformats.org/spreadsheetml/2006/main" count="129" uniqueCount="120">
  <si>
    <t>Q1-</t>
  </si>
  <si>
    <t>Define Covariance and explain how it differs from Correlation in terms of scale and interpretation.</t>
  </si>
  <si>
    <t>Ans 1-</t>
  </si>
  <si>
    <t>Covariance measures how two variables move together.</t>
  </si>
  <si>
    <t>If one increases and the other decreases → negative covariance.</t>
  </si>
  <si>
    <t>Difference:</t>
  </si>
  <si>
    <t>Covariance depends on units and has no fixed range.</t>
  </si>
  <si>
    <t>Correlation is standardized and ranges between -1 and +1, so it is easier to interpret.</t>
  </si>
  <si>
    <t>What does a positive, negative, and zero covariance indicate about the relationship between two variables?</t>
  </si>
  <si>
    <t>If both increase together → positive covariance.</t>
  </si>
  <si>
    <t>Positive covariance: Both variables move in the same direction.</t>
  </si>
  <si>
    <t>Negative covariance: Variables move in opposite directions.</t>
  </si>
  <si>
    <t>Zero covariance: No linear relationship.</t>
  </si>
  <si>
    <t xml:space="preserve">Discuss the limitations of covariance as a measure of relationship between two variables. Why is correlation </t>
  </si>
  <si>
    <t>preferred in many cases?</t>
  </si>
  <si>
    <t>Depends on measurement units.</t>
  </si>
  <si>
    <t>Hard to interpret magnitude.</t>
  </si>
  <si>
    <t>Cannot compare strength easily.</t>
  </si>
  <si>
    <t>Correlation is preferred because it is unit-free and standardized.</t>
  </si>
  <si>
    <t>Limitations of Covariance are -</t>
  </si>
  <si>
    <t>1)</t>
  </si>
  <si>
    <t>2)</t>
  </si>
  <si>
    <t>3)</t>
  </si>
  <si>
    <t>The main limitation of covariance is that its value depends on the units of measurement, which makes comparison difficult.</t>
  </si>
  <si>
    <t xml:space="preserve">Explain the difference between Pearson’s correlation coefficient and Spearman’s rank correlation </t>
  </si>
  <si>
    <t>coefficient. When would you prefer to use Spearman’s correlation?</t>
  </si>
  <si>
    <t>Pearson correlation: Measures linear relationship between continuous variables.</t>
  </si>
  <si>
    <t>Spearman correlation: Based on ranks and used for ordinal or non-linear data.</t>
  </si>
  <si>
    <t>Use Spearman when:</t>
  </si>
  <si>
    <t>Data is not normally distributed</t>
  </si>
  <si>
    <t>Relationship is monotonic but not linear</t>
  </si>
  <si>
    <t>Outliers are present</t>
  </si>
  <si>
    <t xml:space="preserve">If the correlation coefficient between two variables X and Y is 0.85, interpret this value in context. Can you </t>
  </si>
  <si>
    <t>infer causation from this value? Why or why not?</t>
  </si>
  <si>
    <t>A correlation coefficient of 0.85 indicates a strong positive relationship between the two variables. This means that as one variable increases, the other also tends to increase.</t>
  </si>
  <si>
    <t>However, this does not mean that one variable causes the other. Correlation only shows association, not cause and effect.</t>
  </si>
  <si>
    <t xml:space="preserve">correlation ≠ Cousation </t>
  </si>
  <si>
    <t>Using the dataset below, calculate the covariance between X and Y.</t>
  </si>
  <si>
    <t>X</t>
  </si>
  <si>
    <t>Y</t>
  </si>
  <si>
    <t>Mean of X = 5</t>
  </si>
  <si>
    <t>Mean of Y= 6.25</t>
  </si>
  <si>
    <t>X-5</t>
  </si>
  <si>
    <t>Y-6.25</t>
  </si>
  <si>
    <t>Multiply X*Y</t>
  </si>
  <si>
    <t>Sum</t>
  </si>
  <si>
    <t>Cov = 19/ 4 = 4.75</t>
  </si>
  <si>
    <t>If it's population data</t>
  </si>
  <si>
    <t xml:space="preserve">If it's sample data </t>
  </si>
  <si>
    <t>Cov = 19/4-1= 19/3 =6.33</t>
  </si>
  <si>
    <t>The covariance is positive, which means:</t>
  </si>
  <si>
    <t>Both variables move in the same direction.</t>
  </si>
  <si>
    <t>When X increases, Y also tends to increase.</t>
  </si>
  <si>
    <t>Compute the Pearson correlation coefficient between variables A and B:</t>
  </si>
  <si>
    <t>A</t>
  </si>
  <si>
    <t>B</t>
  </si>
  <si>
    <t>Mean of A = 30</t>
  </si>
  <si>
    <t>Mean of B = 18</t>
  </si>
  <si>
    <t>A-30</t>
  </si>
  <si>
    <t>B-18</t>
  </si>
  <si>
    <t>Multiply (A-30)(B-18)</t>
  </si>
  <si>
    <t>(A-30)²</t>
  </si>
  <si>
    <t>(B-18)²</t>
  </si>
  <si>
    <t>r= 500/√1000×251</t>
  </si>
  <si>
    <t>r= 500/501.2</t>
  </si>
  <si>
    <t>r≈0.997</t>
  </si>
  <si>
    <t>This shows a very strong positive linear relationship between A and B.</t>
  </si>
  <si>
    <t>As A increases, B also increases almost perfectly.</t>
  </si>
  <si>
    <t>The following table shows heights (in cm) and weights (in kg) of 5 students. </t>
  </si>
  <si>
    <t>Find the correlation coefficient between Height and Weight.</t>
  </si>
  <si>
    <t xml:space="preserve">Height </t>
  </si>
  <si>
    <t>Weight</t>
  </si>
  <si>
    <t>Mean of height= 165</t>
  </si>
  <si>
    <t>Mean of Weight= 59</t>
  </si>
  <si>
    <t>Height-165</t>
  </si>
  <si>
    <t>Weight-59</t>
  </si>
  <si>
    <t>Multiply Results</t>
  </si>
  <si>
    <t>(Height-165)²</t>
  </si>
  <si>
    <t>(Weight-59)²</t>
  </si>
  <si>
    <t>r= 335/√(500)(228)</t>
  </si>
  <si>
    <t>r= 335/337.6</t>
  </si>
  <si>
    <t>r ≈ 0.992</t>
  </si>
  <si>
    <t>There is a very strong positive correlation between height and weight. As height increases, weight also increases.</t>
  </si>
  <si>
    <t>Given the dataset below, determine whether there is a positive or negative correlation between X and Y. </t>
  </si>
  <si>
    <t>(No need for exact calculation, just reasoning.)</t>
  </si>
  <si>
    <t>It is Negative Correlation Between X and Y . Because X increases Y tends to decrease .</t>
  </si>
  <si>
    <t xml:space="preserve">Two investment portfolios have the following returns (%) over 5 years. Compute the covariance and </t>
  </si>
  <si>
    <t>correlation coefficient, and interpret whether the portfolios move together.</t>
  </si>
  <si>
    <t>Year</t>
  </si>
  <si>
    <t>Portfolio A</t>
  </si>
  <si>
    <t>Portfolio B</t>
  </si>
  <si>
    <t>Portfolio A -10</t>
  </si>
  <si>
    <t>Portfolio B -8.8</t>
  </si>
  <si>
    <t>Mean of Portfolio A</t>
  </si>
  <si>
    <t>Mean of Portfolio B</t>
  </si>
  <si>
    <t>(Portfolio A-10)²</t>
  </si>
  <si>
    <t>(Portfolio B -8.8)²</t>
  </si>
  <si>
    <t>Covariance= 12/5 - 1 = 3</t>
  </si>
  <si>
    <t>Correlation (r) = 12/√(10)(14.8)</t>
  </si>
  <si>
    <t>Correlation (r) = 12/12.16 = 0.986</t>
  </si>
  <si>
    <t xml:space="preserve">Strong Positive </t>
  </si>
  <si>
    <t>There is a very strong positive relationship between the two portfolios. When Portfolio A performs well, Portfolio B also tends to perform well.</t>
  </si>
  <si>
    <t>Q2-</t>
  </si>
  <si>
    <t>Ans 2-</t>
  </si>
  <si>
    <t>Q3-</t>
  </si>
  <si>
    <t>Ans 3-</t>
  </si>
  <si>
    <t>Q4-</t>
  </si>
  <si>
    <t>Ans 4-</t>
  </si>
  <si>
    <t>Q5-</t>
  </si>
  <si>
    <t>Ans 5-</t>
  </si>
  <si>
    <t>Q6-</t>
  </si>
  <si>
    <t>Ans 6-</t>
  </si>
  <si>
    <t>Q7-</t>
  </si>
  <si>
    <t>Ans 7-</t>
  </si>
  <si>
    <t>Q8-</t>
  </si>
  <si>
    <t>Ans 8-</t>
  </si>
  <si>
    <t>Q9-</t>
  </si>
  <si>
    <t>Ans 9-</t>
  </si>
  <si>
    <t>Q10-</t>
  </si>
  <si>
    <t>Ans 10-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</si>
</sst>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u/>
      <sz val="11"/>
      <color theme="1"/>
      <name val="Amasis MT Pro Medium"/>
      <family val="34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 style="medium">
        <color rgb="FF505050"/>
      </right>
      <top/>
      <bottom style="medium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0" fillId="0" borderId="0" xfId="0" applyFont="1"/>
    <xf numFmtId="0" fontId="0" fillId="0" borderId="0" xfId="0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0A506-463F-3D49-92F1-2113A31E90F3}">
  <dimension ref="A2:H145"/>
  <sheetViews>
    <sheetView tabSelected="1" topLeftCell="B55" zoomScaleNormal="60" zoomScaleSheetLayoutView="100" workbookViewId="0">
      <selection activeCell="A129" sqref="A129"/>
    </sheetView>
  </sheetViews>
  <sheetFormatPr defaultRowHeight="15" x14ac:dyDescent="0.2"/>
  <cols>
    <col min="1" max="1" width="6.58984375" bestFit="1" customWidth="1"/>
    <col min="2" max="2" width="17.75390625" customWidth="1"/>
    <col min="3" max="4" width="9.953125" customWidth="1"/>
  </cols>
  <sheetData>
    <row r="2" spans="1:2" x14ac:dyDescent="0.2">
      <c r="A2" s="3" t="s">
        <v>0</v>
      </c>
      <c r="B2" s="2" t="s">
        <v>1</v>
      </c>
    </row>
    <row r="4" spans="1:2" x14ac:dyDescent="0.2">
      <c r="A4" s="3" t="s">
        <v>2</v>
      </c>
      <c r="B4" t="s">
        <v>3</v>
      </c>
    </row>
    <row r="5" spans="1:2" x14ac:dyDescent="0.2">
      <c r="B5" t="s">
        <v>9</v>
      </c>
    </row>
    <row r="6" spans="1:2" x14ac:dyDescent="0.2">
      <c r="B6" t="s">
        <v>4</v>
      </c>
    </row>
    <row r="7" spans="1:2" x14ac:dyDescent="0.2">
      <c r="B7" t="s">
        <v>5</v>
      </c>
    </row>
    <row r="8" spans="1:2" x14ac:dyDescent="0.2">
      <c r="B8" t="s">
        <v>6</v>
      </c>
    </row>
    <row r="9" spans="1:2" x14ac:dyDescent="0.2">
      <c r="B9" t="s">
        <v>7</v>
      </c>
    </row>
    <row r="11" spans="1:2" x14ac:dyDescent="0.2">
      <c r="A11" s="3" t="s">
        <v>102</v>
      </c>
      <c r="B11" s="2" t="s">
        <v>8</v>
      </c>
    </row>
    <row r="13" spans="1:2" x14ac:dyDescent="0.2">
      <c r="A13" s="3" t="s">
        <v>103</v>
      </c>
      <c r="B13" t="s">
        <v>10</v>
      </c>
    </row>
    <row r="14" spans="1:2" x14ac:dyDescent="0.2">
      <c r="B14" t="s">
        <v>11</v>
      </c>
    </row>
    <row r="15" spans="1:2" x14ac:dyDescent="0.2">
      <c r="B15" t="s">
        <v>12</v>
      </c>
    </row>
    <row r="17" spans="1:2" x14ac:dyDescent="0.2">
      <c r="A17" s="3" t="s">
        <v>104</v>
      </c>
      <c r="B17" s="2" t="s">
        <v>13</v>
      </c>
    </row>
    <row r="18" spans="1:2" x14ac:dyDescent="0.2">
      <c r="B18" s="2" t="s">
        <v>14</v>
      </c>
    </row>
    <row r="20" spans="1:2" x14ac:dyDescent="0.2">
      <c r="A20" s="3" t="s">
        <v>105</v>
      </c>
      <c r="B20" s="4" t="s">
        <v>19</v>
      </c>
    </row>
    <row r="21" spans="1:2" x14ac:dyDescent="0.2">
      <c r="A21" s="5" t="s">
        <v>20</v>
      </c>
      <c r="B21" t="s">
        <v>15</v>
      </c>
    </row>
    <row r="22" spans="1:2" x14ac:dyDescent="0.2">
      <c r="A22" s="5" t="s">
        <v>21</v>
      </c>
      <c r="B22" t="s">
        <v>16</v>
      </c>
    </row>
    <row r="23" spans="1:2" x14ac:dyDescent="0.2">
      <c r="A23" s="5" t="s">
        <v>22</v>
      </c>
      <c r="B23" t="s">
        <v>17</v>
      </c>
    </row>
    <row r="24" spans="1:2" x14ac:dyDescent="0.2">
      <c r="A24" s="5"/>
      <c r="B24" t="s">
        <v>23</v>
      </c>
    </row>
    <row r="25" spans="1:2" x14ac:dyDescent="0.2">
      <c r="B25" t="s">
        <v>18</v>
      </c>
    </row>
    <row r="27" spans="1:2" x14ac:dyDescent="0.2">
      <c r="A27" s="3" t="s">
        <v>106</v>
      </c>
      <c r="B27" s="2" t="s">
        <v>24</v>
      </c>
    </row>
    <row r="28" spans="1:2" x14ac:dyDescent="0.2">
      <c r="B28" s="2" t="s">
        <v>25</v>
      </c>
    </row>
    <row r="30" spans="1:2" x14ac:dyDescent="0.2">
      <c r="A30" s="3" t="s">
        <v>107</v>
      </c>
      <c r="B30" t="s">
        <v>26</v>
      </c>
    </row>
    <row r="31" spans="1:2" x14ac:dyDescent="0.2">
      <c r="B31" t="s">
        <v>27</v>
      </c>
    </row>
    <row r="32" spans="1:2" x14ac:dyDescent="0.2">
      <c r="B32" s="1" t="s">
        <v>28</v>
      </c>
    </row>
    <row r="33" spans="1:6" x14ac:dyDescent="0.2">
      <c r="B33" t="s">
        <v>29</v>
      </c>
    </row>
    <row r="34" spans="1:6" x14ac:dyDescent="0.2">
      <c r="B34" t="s">
        <v>30</v>
      </c>
    </row>
    <row r="35" spans="1:6" x14ac:dyDescent="0.2">
      <c r="B35" t="s">
        <v>31</v>
      </c>
    </row>
    <row r="37" spans="1:6" x14ac:dyDescent="0.2">
      <c r="A37" s="3" t="s">
        <v>108</v>
      </c>
      <c r="B37" s="2" t="s">
        <v>32</v>
      </c>
    </row>
    <row r="38" spans="1:6" x14ac:dyDescent="0.2">
      <c r="B38" s="2" t="s">
        <v>33</v>
      </c>
    </row>
    <row r="40" spans="1:6" x14ac:dyDescent="0.2">
      <c r="A40" s="3" t="s">
        <v>109</v>
      </c>
      <c r="B40" t="s">
        <v>34</v>
      </c>
    </row>
    <row r="42" spans="1:6" x14ac:dyDescent="0.2">
      <c r="B42" t="s">
        <v>35</v>
      </c>
    </row>
    <row r="43" spans="1:6" x14ac:dyDescent="0.2">
      <c r="B43" t="s">
        <v>36</v>
      </c>
    </row>
    <row r="45" spans="1:6" x14ac:dyDescent="0.2">
      <c r="A45" s="3" t="s">
        <v>110</v>
      </c>
      <c r="B45" s="2" t="s">
        <v>37</v>
      </c>
    </row>
    <row r="46" spans="1:6" ht="15.75" thickBot="1" x14ac:dyDescent="0.25"/>
    <row r="47" spans="1:6" x14ac:dyDescent="0.2">
      <c r="B47" s="6" t="s">
        <v>38</v>
      </c>
      <c r="C47" s="7">
        <v>2</v>
      </c>
      <c r="D47" s="7">
        <v>4</v>
      </c>
      <c r="E47" s="7">
        <v>6</v>
      </c>
      <c r="F47" s="8">
        <v>8</v>
      </c>
    </row>
    <row r="48" spans="1:6" ht="15.75" thickBot="1" x14ac:dyDescent="0.25">
      <c r="B48" s="9" t="s">
        <v>39</v>
      </c>
      <c r="C48" s="10">
        <v>3</v>
      </c>
      <c r="D48" s="10">
        <v>7</v>
      </c>
      <c r="E48" s="10">
        <v>5</v>
      </c>
      <c r="F48" s="11">
        <v>10</v>
      </c>
    </row>
    <row r="50" spans="1:7" x14ac:dyDescent="0.2">
      <c r="A50" s="3" t="s">
        <v>111</v>
      </c>
      <c r="B50" t="s">
        <v>40</v>
      </c>
    </row>
    <row r="51" spans="1:7" ht="15.75" thickBot="1" x14ac:dyDescent="0.25">
      <c r="B51" t="s">
        <v>41</v>
      </c>
      <c r="G51" s="15"/>
    </row>
    <row r="52" spans="1:7" ht="15.75" thickBot="1" x14ac:dyDescent="0.25">
      <c r="B52" s="6" t="s">
        <v>42</v>
      </c>
      <c r="C52" s="12">
        <v>-3</v>
      </c>
      <c r="D52" s="12">
        <v>-1</v>
      </c>
      <c r="E52" s="12">
        <v>1</v>
      </c>
      <c r="F52" s="13">
        <v>3</v>
      </c>
    </row>
    <row r="53" spans="1:7" x14ac:dyDescent="0.2">
      <c r="B53" s="17" t="s">
        <v>43</v>
      </c>
      <c r="C53" s="16">
        <v>-3.25</v>
      </c>
      <c r="D53" s="16">
        <v>0.75</v>
      </c>
      <c r="E53" s="16">
        <v>-1.25</v>
      </c>
      <c r="F53" s="19">
        <v>3.75</v>
      </c>
      <c r="G53" s="21" t="s">
        <v>45</v>
      </c>
    </row>
    <row r="54" spans="1:7" ht="15.75" thickBot="1" x14ac:dyDescent="0.25">
      <c r="B54" s="9" t="s">
        <v>44</v>
      </c>
      <c r="C54" s="14">
        <f>PRODUCT(C52,C53)</f>
        <v>9.75</v>
      </c>
      <c r="D54" s="14">
        <f t="shared" ref="D54:F54" si="0">PRODUCT(D52,D53)</f>
        <v>-0.75</v>
      </c>
      <c r="E54" s="14">
        <f t="shared" si="0"/>
        <v>-1.25</v>
      </c>
      <c r="F54" s="20">
        <f t="shared" si="0"/>
        <v>11.25</v>
      </c>
      <c r="G54" s="22">
        <f>SUM(C54:F54)</f>
        <v>19</v>
      </c>
    </row>
    <row r="55" spans="1:7" x14ac:dyDescent="0.2">
      <c r="B55" t="s">
        <v>47</v>
      </c>
    </row>
    <row r="56" spans="1:7" x14ac:dyDescent="0.2">
      <c r="B56" t="s">
        <v>46</v>
      </c>
    </row>
    <row r="58" spans="1:7" x14ac:dyDescent="0.2">
      <c r="B58" t="s">
        <v>48</v>
      </c>
    </row>
    <row r="59" spans="1:7" x14ac:dyDescent="0.2">
      <c r="B59" t="s">
        <v>49</v>
      </c>
    </row>
    <row r="61" spans="1:7" x14ac:dyDescent="0.2">
      <c r="B61" t="s">
        <v>50</v>
      </c>
    </row>
    <row r="62" spans="1:7" x14ac:dyDescent="0.2">
      <c r="B62" t="s">
        <v>52</v>
      </c>
    </row>
    <row r="63" spans="1:7" x14ac:dyDescent="0.2">
      <c r="B63" t="s">
        <v>51</v>
      </c>
    </row>
    <row r="65" spans="1:8" x14ac:dyDescent="0.2">
      <c r="A65" s="3" t="s">
        <v>112</v>
      </c>
      <c r="B65" s="2" t="s">
        <v>53</v>
      </c>
    </row>
    <row r="66" spans="1:8" ht="15.75" thickBot="1" x14ac:dyDescent="0.25"/>
    <row r="67" spans="1:8" x14ac:dyDescent="0.2">
      <c r="B67" s="23" t="s">
        <v>54</v>
      </c>
      <c r="C67" s="24">
        <v>10</v>
      </c>
      <c r="D67" s="24">
        <v>20</v>
      </c>
      <c r="E67" s="24">
        <v>30</v>
      </c>
      <c r="F67" s="24">
        <v>40</v>
      </c>
      <c r="G67" s="25">
        <v>50</v>
      </c>
    </row>
    <row r="68" spans="1:8" ht="15.75" thickBot="1" x14ac:dyDescent="0.25">
      <c r="B68" s="26" t="s">
        <v>55</v>
      </c>
      <c r="C68" s="27">
        <v>6</v>
      </c>
      <c r="D68" s="27">
        <v>14</v>
      </c>
      <c r="E68" s="27">
        <v>18</v>
      </c>
      <c r="F68" s="27">
        <v>24</v>
      </c>
      <c r="G68" s="28">
        <v>28</v>
      </c>
    </row>
    <row r="70" spans="1:8" x14ac:dyDescent="0.2">
      <c r="A70" s="3" t="s">
        <v>113</v>
      </c>
      <c r="B70" t="s">
        <v>56</v>
      </c>
    </row>
    <row r="71" spans="1:8" x14ac:dyDescent="0.2">
      <c r="B71" t="s">
        <v>57</v>
      </c>
    </row>
    <row r="72" spans="1:8" ht="15.75" thickBot="1" x14ac:dyDescent="0.25"/>
    <row r="73" spans="1:8" x14ac:dyDescent="0.2">
      <c r="B73" s="6" t="s">
        <v>58</v>
      </c>
      <c r="C73" s="12">
        <v>-20</v>
      </c>
      <c r="D73" s="12">
        <v>-10</v>
      </c>
      <c r="E73" s="12">
        <v>0</v>
      </c>
      <c r="F73" s="12">
        <v>10</v>
      </c>
      <c r="G73" s="13">
        <v>20</v>
      </c>
    </row>
    <row r="74" spans="1:8" ht="15.75" thickBot="1" x14ac:dyDescent="0.25">
      <c r="B74" s="17" t="s">
        <v>59</v>
      </c>
      <c r="C74" s="16">
        <v>-10.4</v>
      </c>
      <c r="D74" s="16">
        <v>-4.4000000000000004</v>
      </c>
      <c r="E74" s="16">
        <v>-0.4</v>
      </c>
      <c r="F74" s="16">
        <v>5.6</v>
      </c>
      <c r="G74" s="18">
        <v>9.6</v>
      </c>
    </row>
    <row r="75" spans="1:8" ht="15.75" thickBot="1" x14ac:dyDescent="0.25">
      <c r="B75" s="17"/>
      <c r="C75" s="16"/>
      <c r="D75" s="16"/>
      <c r="E75" s="16"/>
      <c r="F75" s="16"/>
      <c r="G75" s="18"/>
      <c r="H75" s="21" t="s">
        <v>45</v>
      </c>
    </row>
    <row r="76" spans="1:8" ht="15.75" thickBot="1" x14ac:dyDescent="0.25">
      <c r="B76" s="17" t="s">
        <v>60</v>
      </c>
      <c r="C76" s="16">
        <f>PRODUCT(C73,C74)</f>
        <v>208</v>
      </c>
      <c r="D76" s="16">
        <f t="shared" ref="D76:G76" si="1">PRODUCT(D73,D74)</f>
        <v>44</v>
      </c>
      <c r="E76" s="16">
        <f t="shared" si="1"/>
        <v>0</v>
      </c>
      <c r="F76" s="16">
        <f t="shared" si="1"/>
        <v>56</v>
      </c>
      <c r="G76" s="19">
        <f t="shared" si="1"/>
        <v>192</v>
      </c>
      <c r="H76" s="29">
        <f>SUM(C76:G76)</f>
        <v>500</v>
      </c>
    </row>
    <row r="77" spans="1:8" ht="15.75" thickBot="1" x14ac:dyDescent="0.25">
      <c r="B77" s="17"/>
      <c r="C77" s="16"/>
      <c r="D77" s="16"/>
      <c r="E77" s="16"/>
      <c r="F77" s="16"/>
      <c r="G77" s="18"/>
      <c r="H77" s="21" t="s">
        <v>45</v>
      </c>
    </row>
    <row r="78" spans="1:8" x14ac:dyDescent="0.2">
      <c r="B78" s="17" t="s">
        <v>61</v>
      </c>
      <c r="C78" s="16">
        <v>400</v>
      </c>
      <c r="D78" s="16">
        <v>100</v>
      </c>
      <c r="E78" s="16">
        <v>0</v>
      </c>
      <c r="F78" s="16">
        <v>100</v>
      </c>
      <c r="G78" s="19">
        <v>400</v>
      </c>
      <c r="H78" s="30">
        <f>SUM(C78:G78)</f>
        <v>1000</v>
      </c>
    </row>
    <row r="79" spans="1:8" ht="15.75" thickBot="1" x14ac:dyDescent="0.25">
      <c r="B79" s="9" t="s">
        <v>62</v>
      </c>
      <c r="C79" s="14">
        <v>108.16</v>
      </c>
      <c r="D79" s="14">
        <v>19.36</v>
      </c>
      <c r="E79" s="14">
        <v>0.16</v>
      </c>
      <c r="F79" s="14">
        <v>31.36</v>
      </c>
      <c r="G79" s="20">
        <v>92.16</v>
      </c>
      <c r="H79" s="31">
        <f>SUM(C79:G79)</f>
        <v>251.2</v>
      </c>
    </row>
    <row r="81" spans="1:7" x14ac:dyDescent="0.2">
      <c r="B81" t="s">
        <v>63</v>
      </c>
    </row>
    <row r="82" spans="1:7" x14ac:dyDescent="0.2">
      <c r="B82" t="s">
        <v>64</v>
      </c>
    </row>
    <row r="83" spans="1:7" x14ac:dyDescent="0.2">
      <c r="B83" t="s">
        <v>65</v>
      </c>
    </row>
    <row r="85" spans="1:7" x14ac:dyDescent="0.2">
      <c r="B85" t="s">
        <v>66</v>
      </c>
    </row>
    <row r="86" spans="1:7" x14ac:dyDescent="0.2">
      <c r="B86" t="s">
        <v>67</v>
      </c>
    </row>
    <row r="88" spans="1:7" x14ac:dyDescent="0.2">
      <c r="A88" s="3" t="s">
        <v>114</v>
      </c>
      <c r="B88" s="2" t="s">
        <v>68</v>
      </c>
    </row>
    <row r="89" spans="1:7" x14ac:dyDescent="0.2">
      <c r="B89" s="2" t="s">
        <v>69</v>
      </c>
    </row>
    <row r="90" spans="1:7" ht="15.75" thickBot="1" x14ac:dyDescent="0.25"/>
    <row r="91" spans="1:7" x14ac:dyDescent="0.2">
      <c r="B91" s="6" t="s">
        <v>70</v>
      </c>
      <c r="C91" s="7">
        <v>150</v>
      </c>
      <c r="D91" s="7">
        <v>160</v>
      </c>
      <c r="E91" s="7">
        <v>165</v>
      </c>
      <c r="F91" s="7">
        <v>170</v>
      </c>
      <c r="G91" s="8">
        <v>180</v>
      </c>
    </row>
    <row r="92" spans="1:7" ht="15.75" thickBot="1" x14ac:dyDescent="0.25">
      <c r="B92" s="9" t="s">
        <v>71</v>
      </c>
      <c r="C92" s="10">
        <v>50</v>
      </c>
      <c r="D92" s="10">
        <v>55</v>
      </c>
      <c r="E92" s="10">
        <v>58</v>
      </c>
      <c r="F92" s="10">
        <v>62</v>
      </c>
      <c r="G92" s="11">
        <v>70</v>
      </c>
    </row>
    <row r="93" spans="1:7" x14ac:dyDescent="0.2">
      <c r="B93" s="32"/>
      <c r="C93" s="32"/>
      <c r="D93" s="32"/>
      <c r="E93" s="32"/>
      <c r="F93" s="32"/>
      <c r="G93" s="32"/>
    </row>
    <row r="94" spans="1:7" x14ac:dyDescent="0.2">
      <c r="A94" s="3" t="s">
        <v>115</v>
      </c>
      <c r="B94" s="33" t="s">
        <v>72</v>
      </c>
      <c r="C94" s="32"/>
      <c r="D94" s="32"/>
      <c r="E94" s="32"/>
      <c r="F94" s="32"/>
      <c r="G94" s="32"/>
    </row>
    <row r="95" spans="1:7" x14ac:dyDescent="0.2">
      <c r="B95" s="33" t="s">
        <v>73</v>
      </c>
      <c r="C95" s="32"/>
      <c r="D95" s="32"/>
      <c r="E95" s="32"/>
      <c r="F95" s="32"/>
      <c r="G95" s="32"/>
    </row>
    <row r="96" spans="1:7" ht="15.75" thickBot="1" x14ac:dyDescent="0.25"/>
    <row r="97" spans="1:8" x14ac:dyDescent="0.2">
      <c r="B97" s="6" t="s">
        <v>74</v>
      </c>
      <c r="C97" s="12">
        <v>-15</v>
      </c>
      <c r="D97" s="12">
        <v>-5</v>
      </c>
      <c r="E97" s="12">
        <v>0</v>
      </c>
      <c r="F97" s="12">
        <v>5</v>
      </c>
      <c r="G97" s="13">
        <v>15</v>
      </c>
    </row>
    <row r="98" spans="1:8" ht="15.75" thickBot="1" x14ac:dyDescent="0.25">
      <c r="B98" s="17" t="s">
        <v>75</v>
      </c>
      <c r="C98" s="16">
        <v>-9</v>
      </c>
      <c r="D98" s="16">
        <v>-4</v>
      </c>
      <c r="E98" s="16">
        <v>-1</v>
      </c>
      <c r="F98" s="16">
        <v>3</v>
      </c>
      <c r="G98" s="18">
        <v>11</v>
      </c>
    </row>
    <row r="99" spans="1:8" ht="15.75" thickBot="1" x14ac:dyDescent="0.25">
      <c r="B99" s="17"/>
      <c r="C99" s="16"/>
      <c r="D99" s="16"/>
      <c r="E99" s="16"/>
      <c r="F99" s="16"/>
      <c r="G99" s="18"/>
      <c r="H99" s="21" t="s">
        <v>45</v>
      </c>
    </row>
    <row r="100" spans="1:8" ht="15.75" thickBot="1" x14ac:dyDescent="0.25">
      <c r="B100" s="17" t="s">
        <v>76</v>
      </c>
      <c r="C100" s="16">
        <f>PRODUCT(C97,C98)</f>
        <v>135</v>
      </c>
      <c r="D100" s="16">
        <f t="shared" ref="D100:G100" si="2">PRODUCT(D97,D98)</f>
        <v>20</v>
      </c>
      <c r="E100" s="16">
        <f t="shared" si="2"/>
        <v>0</v>
      </c>
      <c r="F100" s="16">
        <f t="shared" si="2"/>
        <v>15</v>
      </c>
      <c r="G100" s="19">
        <f>PRODUCT(G97,G98)</f>
        <v>165</v>
      </c>
      <c r="H100" s="29">
        <f>SUM(C100:G100)</f>
        <v>335</v>
      </c>
    </row>
    <row r="101" spans="1:8" ht="15.75" thickBot="1" x14ac:dyDescent="0.25">
      <c r="B101" s="17"/>
      <c r="C101" s="16"/>
      <c r="D101" s="16"/>
      <c r="E101" s="16"/>
      <c r="F101" s="16"/>
      <c r="G101" s="18"/>
      <c r="H101" s="21" t="s">
        <v>45</v>
      </c>
    </row>
    <row r="102" spans="1:8" x14ac:dyDescent="0.2">
      <c r="B102" s="17" t="s">
        <v>77</v>
      </c>
      <c r="C102" s="16">
        <v>225</v>
      </c>
      <c r="D102" s="16">
        <v>25</v>
      </c>
      <c r="E102" s="16">
        <v>0</v>
      </c>
      <c r="F102" s="16">
        <v>25</v>
      </c>
      <c r="G102" s="19">
        <v>225</v>
      </c>
      <c r="H102" s="30">
        <f>SUM(C102:G102)</f>
        <v>500</v>
      </c>
    </row>
    <row r="103" spans="1:8" ht="15.75" thickBot="1" x14ac:dyDescent="0.25">
      <c r="B103" s="9" t="s">
        <v>78</v>
      </c>
      <c r="C103" s="14">
        <v>81</v>
      </c>
      <c r="D103" s="14">
        <v>16</v>
      </c>
      <c r="E103" s="14">
        <v>1</v>
      </c>
      <c r="F103" s="14">
        <v>9</v>
      </c>
      <c r="G103" s="20">
        <v>121</v>
      </c>
      <c r="H103" s="31">
        <f>SUM(C103:G103)</f>
        <v>228</v>
      </c>
    </row>
    <row r="105" spans="1:8" x14ac:dyDescent="0.2">
      <c r="B105" t="s">
        <v>79</v>
      </c>
    </row>
    <row r="106" spans="1:8" x14ac:dyDescent="0.2">
      <c r="B106" t="s">
        <v>80</v>
      </c>
    </row>
    <row r="107" spans="1:8" x14ac:dyDescent="0.2">
      <c r="B107" t="s">
        <v>81</v>
      </c>
    </row>
    <row r="109" spans="1:8" x14ac:dyDescent="0.2">
      <c r="B109" t="s">
        <v>82</v>
      </c>
    </row>
    <row r="111" spans="1:8" x14ac:dyDescent="0.2">
      <c r="A111" s="3" t="s">
        <v>116</v>
      </c>
      <c r="B111" s="2" t="s">
        <v>83</v>
      </c>
    </row>
    <row r="112" spans="1:8" x14ac:dyDescent="0.2">
      <c r="B112" s="2" t="s">
        <v>84</v>
      </c>
    </row>
    <row r="113" spans="1:7" ht="15.75" thickBot="1" x14ac:dyDescent="0.25"/>
    <row r="114" spans="1:7" x14ac:dyDescent="0.2">
      <c r="B114" s="6" t="s">
        <v>38</v>
      </c>
      <c r="C114" s="7">
        <v>1</v>
      </c>
      <c r="D114" s="7">
        <v>2</v>
      </c>
      <c r="E114" s="7">
        <v>3</v>
      </c>
      <c r="F114" s="7">
        <v>4</v>
      </c>
      <c r="G114" s="8">
        <v>5</v>
      </c>
    </row>
    <row r="115" spans="1:7" ht="15.75" thickBot="1" x14ac:dyDescent="0.25">
      <c r="B115" s="9" t="s">
        <v>39</v>
      </c>
      <c r="C115" s="10">
        <v>15</v>
      </c>
      <c r="D115" s="10">
        <v>12</v>
      </c>
      <c r="E115" s="10">
        <v>9</v>
      </c>
      <c r="F115" s="10">
        <v>7</v>
      </c>
      <c r="G115" s="11">
        <v>3</v>
      </c>
    </row>
    <row r="117" spans="1:7" x14ac:dyDescent="0.2">
      <c r="A117" s="3" t="s">
        <v>117</v>
      </c>
      <c r="B117" t="s">
        <v>85</v>
      </c>
    </row>
    <row r="119" spans="1:7" x14ac:dyDescent="0.2">
      <c r="A119" s="3" t="s">
        <v>118</v>
      </c>
      <c r="B119" s="2" t="s">
        <v>86</v>
      </c>
    </row>
    <row r="120" spans="1:7" x14ac:dyDescent="0.2">
      <c r="B120" s="2" t="s">
        <v>87</v>
      </c>
    </row>
    <row r="121" spans="1:7" ht="15.75" thickBot="1" x14ac:dyDescent="0.25"/>
    <row r="122" spans="1:7" x14ac:dyDescent="0.2">
      <c r="B122" s="6" t="s">
        <v>88</v>
      </c>
      <c r="C122" s="7" t="s">
        <v>89</v>
      </c>
      <c r="D122" s="8" t="s">
        <v>90</v>
      </c>
    </row>
    <row r="123" spans="1:7" x14ac:dyDescent="0.2">
      <c r="B123" s="17">
        <v>1</v>
      </c>
      <c r="C123" s="34">
        <v>8</v>
      </c>
      <c r="D123" s="35">
        <v>6</v>
      </c>
    </row>
    <row r="124" spans="1:7" x14ac:dyDescent="0.2">
      <c r="B124" s="17">
        <v>2</v>
      </c>
      <c r="C124" s="34">
        <v>10</v>
      </c>
      <c r="D124" s="35">
        <v>9</v>
      </c>
    </row>
    <row r="125" spans="1:7" x14ac:dyDescent="0.2">
      <c r="B125" s="17">
        <v>3</v>
      </c>
      <c r="C125" s="34">
        <v>12</v>
      </c>
      <c r="D125" s="35">
        <v>11</v>
      </c>
    </row>
    <row r="126" spans="1:7" x14ac:dyDescent="0.2">
      <c r="B126" s="17">
        <v>4</v>
      </c>
      <c r="C126" s="34">
        <v>9</v>
      </c>
      <c r="D126" s="35">
        <v>8</v>
      </c>
    </row>
    <row r="127" spans="1:7" ht="15.75" thickBot="1" x14ac:dyDescent="0.25">
      <c r="B127" s="9">
        <v>5</v>
      </c>
      <c r="C127" s="10">
        <v>11</v>
      </c>
      <c r="D127" s="11">
        <v>10</v>
      </c>
    </row>
    <row r="129" spans="1:8" x14ac:dyDescent="0.2">
      <c r="A129" s="3" t="s">
        <v>119</v>
      </c>
      <c r="B129" s="36" t="s">
        <v>93</v>
      </c>
      <c r="C129" s="36">
        <v>10</v>
      </c>
    </row>
    <row r="130" spans="1:8" x14ac:dyDescent="0.2">
      <c r="B130" s="36" t="s">
        <v>94</v>
      </c>
      <c r="C130" s="36">
        <v>8.8000000000000007</v>
      </c>
    </row>
    <row r="131" spans="1:8" ht="15.75" thickBot="1" x14ac:dyDescent="0.25"/>
    <row r="132" spans="1:8" x14ac:dyDescent="0.2">
      <c r="B132" s="6" t="s">
        <v>91</v>
      </c>
      <c r="C132" s="12">
        <v>-2</v>
      </c>
      <c r="D132" s="12">
        <v>0</v>
      </c>
      <c r="E132" s="12">
        <v>2</v>
      </c>
      <c r="F132" s="12">
        <v>-1</v>
      </c>
      <c r="G132" s="12">
        <v>1</v>
      </c>
    </row>
    <row r="133" spans="1:8" ht="15.75" thickBot="1" x14ac:dyDescent="0.25">
      <c r="B133" s="17" t="s">
        <v>92</v>
      </c>
      <c r="C133" s="16">
        <v>-2.8</v>
      </c>
      <c r="D133" s="16">
        <v>0.2</v>
      </c>
      <c r="E133" s="16">
        <v>2.2000000000000002</v>
      </c>
      <c r="F133" s="16">
        <v>-0.8</v>
      </c>
      <c r="G133" s="18">
        <v>1.2</v>
      </c>
    </row>
    <row r="134" spans="1:8" ht="15.75" thickBot="1" x14ac:dyDescent="0.25">
      <c r="B134" s="17"/>
      <c r="C134" s="16"/>
      <c r="D134" s="16"/>
      <c r="E134" s="16"/>
      <c r="F134" s="16"/>
      <c r="G134" s="18"/>
      <c r="H134" s="21" t="s">
        <v>45</v>
      </c>
    </row>
    <row r="135" spans="1:8" ht="15.75" thickBot="1" x14ac:dyDescent="0.25">
      <c r="B135" s="17" t="s">
        <v>76</v>
      </c>
      <c r="C135" s="16">
        <f>PRODUCT(C132,C133)</f>
        <v>5.6</v>
      </c>
      <c r="D135" s="16">
        <f t="shared" ref="D135:G135" si="3">PRODUCT(D132,D133)</f>
        <v>0</v>
      </c>
      <c r="E135" s="16">
        <f t="shared" si="3"/>
        <v>4.4000000000000004</v>
      </c>
      <c r="F135" s="16">
        <f>PRODUCT(F132,F133)</f>
        <v>0.8</v>
      </c>
      <c r="G135" s="19">
        <f>PRODUCT(G132,G133)</f>
        <v>1.2</v>
      </c>
      <c r="H135" s="29">
        <f>SUM(C135:G135)</f>
        <v>12</v>
      </c>
    </row>
    <row r="136" spans="1:8" ht="15.75" thickBot="1" x14ac:dyDescent="0.25">
      <c r="B136" s="17"/>
      <c r="C136" s="16"/>
      <c r="D136" s="16"/>
      <c r="E136" s="16"/>
      <c r="F136" s="16"/>
      <c r="G136" s="18"/>
      <c r="H136" s="21" t="s">
        <v>45</v>
      </c>
    </row>
    <row r="137" spans="1:8" x14ac:dyDescent="0.2">
      <c r="B137" s="17" t="s">
        <v>95</v>
      </c>
      <c r="C137" s="16">
        <v>4</v>
      </c>
      <c r="D137" s="16">
        <v>0</v>
      </c>
      <c r="E137" s="16">
        <v>4</v>
      </c>
      <c r="F137" s="16">
        <v>1</v>
      </c>
      <c r="G137" s="19">
        <v>1</v>
      </c>
      <c r="H137" s="30">
        <f>SUM(C137:G137)</f>
        <v>10</v>
      </c>
    </row>
    <row r="138" spans="1:8" ht="15.75" thickBot="1" x14ac:dyDescent="0.25">
      <c r="B138" s="9" t="s">
        <v>96</v>
      </c>
      <c r="C138" s="14">
        <v>7.84</v>
      </c>
      <c r="D138" s="14">
        <v>0.04</v>
      </c>
      <c r="E138" s="14">
        <v>4.84</v>
      </c>
      <c r="F138" s="14">
        <v>0.64</v>
      </c>
      <c r="G138" s="20">
        <v>1.44</v>
      </c>
      <c r="H138" s="31">
        <f>SUM(C138:G138)</f>
        <v>14.799999999999999</v>
      </c>
    </row>
    <row r="140" spans="1:8" x14ac:dyDescent="0.2">
      <c r="B140" t="s">
        <v>97</v>
      </c>
    </row>
    <row r="141" spans="1:8" x14ac:dyDescent="0.2">
      <c r="B141" t="s">
        <v>98</v>
      </c>
    </row>
    <row r="142" spans="1:8" x14ac:dyDescent="0.2">
      <c r="B142" t="s">
        <v>99</v>
      </c>
    </row>
    <row r="144" spans="1:8" x14ac:dyDescent="0.2">
      <c r="B144" t="s">
        <v>100</v>
      </c>
    </row>
    <row r="145" spans="2:2" x14ac:dyDescent="0.2">
      <c r="B145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Anas</dc:creator>
  <dcterms:created xsi:type="dcterms:W3CDTF">2026-02-16T12:58:46Z</dcterms:created>
</cp:coreProperties>
</file>