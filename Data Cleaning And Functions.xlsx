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defaultThemeVersion="202300"/>
  <xr:revisionPtr revIDLastSave="0" documentId="8_{88ED27E7-4B59-1845-B03C-5898191ECBFE}" xr6:coauthVersionLast="47" xr6:coauthVersionMax="47" xr10:uidLastSave="{00000000-0000-0000-0000-000000000000}"/>
  <bookViews>
    <workbookView xWindow="0" yWindow="0" windowWidth="0" windowHeight="0" xr2:uid="{00000000-000D-0000-FFFF-FFFF00000000}"/>
  </bookViews>
  <sheets>
    <sheet name="Sheet1" sheetId="1" r:id="rId1"/>
  </sheets>
  <definedNames>
    <definedName name="_xlnm._FilterDatabase" localSheetId="0" hidden="1">Sheet1!$B$34:$D$37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1" i="1" l="1"/>
  <c r="B171" i="1"/>
  <c r="C177" i="1"/>
  <c r="C171" i="1"/>
  <c r="D161" i="1"/>
  <c r="C151" i="1"/>
  <c r="D147" i="1"/>
  <c r="E141" i="1"/>
  <c r="D136" i="1"/>
  <c r="C129" i="1"/>
  <c r="C124" i="1"/>
  <c r="C119" i="1"/>
  <c r="C114" i="1"/>
  <c r="C109" i="1"/>
  <c r="C68" i="1"/>
  <c r="D58" i="1"/>
  <c r="E58" i="1"/>
  <c r="G58" i="1"/>
  <c r="D57" i="1"/>
  <c r="E57" i="1"/>
  <c r="G57" i="1"/>
  <c r="D56" i="1"/>
  <c r="E56" i="1"/>
  <c r="G56" i="1"/>
  <c r="D55" i="1"/>
  <c r="E55" i="1"/>
  <c r="G55" i="1"/>
  <c r="F58" i="1"/>
  <c r="F57" i="1"/>
  <c r="F56" i="1"/>
  <c r="F55" i="1"/>
  <c r="C58" i="1"/>
  <c r="C57" i="1"/>
  <c r="C56" i="1"/>
  <c r="C55" i="1"/>
</calcChain>
</file>

<file path=xl/sharedStrings.xml><?xml version="1.0" encoding="utf-8"?>
<sst xmlns="http://schemas.openxmlformats.org/spreadsheetml/2006/main" count="170" uniqueCount="128">
  <si>
    <t>Q1) What is data cleaning, and why is it important in data analysis?</t>
  </si>
  <si>
    <t>Answer1-</t>
  </si>
  <si>
    <t>Data cleaning is the process of identifying , correcting errors, inconsistencies, duplicates, and missing values in a dataset. It is important because clean data ensures accurate analysis, reliable results, and better decision-making.</t>
  </si>
  <si>
    <t>∆ What are the potential consequences of analyzing unclean or messy data?</t>
  </si>
  <si>
    <t>Analyzing unclean data can lead to incorrect results, wrong business decisions, misleading insights, increased errors in reports, and loss of trust in data analysis.</t>
  </si>
  <si>
    <t>∆ Explain the common steps involved in cleaning and organizing data?</t>
  </si>
  <si>
    <t>Common steps involved in data cleaning and organizing data include:
1) Removing duplicate records.
2) Handling missing values.
3) Correcting data types and formats.
4) Fixing spelling and text errors.
5) Removing unnecessary spaces.
6) Sorting and organizing data.
7) Validating data for accuracy.</t>
  </si>
  <si>
    <t>Q2) How would you sort the following dataset first by "Department" (A-Z) and then by "Salary" (Largest to Smallest)? Write a step-by-step approach.</t>
  </si>
  <si>
    <t xml:space="preserve">Employee </t>
  </si>
  <si>
    <t xml:space="preserve">Department </t>
  </si>
  <si>
    <t xml:space="preserve">Salary </t>
  </si>
  <si>
    <t>Sonu</t>
  </si>
  <si>
    <t>Pranav</t>
  </si>
  <si>
    <t>Rahul</t>
  </si>
  <si>
    <t>IT</t>
  </si>
  <si>
    <t>HR</t>
  </si>
  <si>
    <t>Answer 2-</t>
  </si>
  <si>
    <t>To Sort data here are few steps - 
1) Select the entire dataset.
2) Go to Data → Sort.
3) Choose Department → Sort A to Z.
4) Click Add Level.
5) Choose Salary → Sort Largest to Smallest.
6) Click OK.</t>
  </si>
  <si>
    <t xml:space="preserve">Department (A-Z)
</t>
  </si>
  <si>
    <t>Salary (Largest to Smallest )</t>
  </si>
  <si>
    <t>Q3 ) Explain the use of text functions such as TRIM , LEFT, RIGHT, MID, and CONCAT in data cleaning?</t>
  </si>
  <si>
    <t>Answer 3-</t>
  </si>
  <si>
    <t>Uses of Text Function are as follows- 
∆ TRIM removes extra spaces from text.
∆ LEFT extracts characters from the left.
∆ RIGHT extracts characters from the right.
∆ MID extracts text from the middle.
∆ CONCAT joins multiple text values into one.</t>
  </si>
  <si>
    <t xml:space="preserve">Names </t>
  </si>
  <si>
    <t>Vishal</t>
  </si>
  <si>
    <t>Priyanshu   roy</t>
  </si>
  <si>
    <t xml:space="preserve"> Pranav  kumar</t>
  </si>
  <si>
    <t>Mohd    anas</t>
  </si>
  <si>
    <t>TRIM</t>
  </si>
  <si>
    <t>LEFT</t>
  </si>
  <si>
    <t>RIGHT</t>
  </si>
  <si>
    <t>MID</t>
  </si>
  <si>
    <t>CONCAT</t>
  </si>
  <si>
    <t>This is to demonstrate formula don't go on Names .</t>
  </si>
  <si>
    <t>This Function Helps Clean and Standarize text data ,</t>
  </si>
  <si>
    <t>Q4 ) What is the role of date functions like TODAY in managing datasets?</t>
  </si>
  <si>
    <t xml:space="preserve">Answer 4- </t>
  </si>
  <si>
    <t>In Excel, the TODAY() function is used to return the current date automatically.
It updates automatically every day when the file is opened or recalculated.</t>
  </si>
  <si>
    <t xml:space="preserve">Formula </t>
  </si>
  <si>
    <t xml:space="preserve">Q5 ) </t>
  </si>
  <si>
    <t>Apply Data Validation to restrict Quantity values to only whole numbers between 1 and 10.
a) Configure an input message that appears when a user selects a cell in the "Quantity" column explaining: "Please enter a whole number between 1 and 10."
b) Set up an error alert message that triggers if the user enters a number less than 1 or greater than 10, showing:"Invalid input! The quantity must be a whole number between 1 and 10."</t>
  </si>
  <si>
    <t>Write a step-by-step approach for this question</t>
  </si>
  <si>
    <t>Customer Name</t>
  </si>
  <si>
    <t>Product Name</t>
  </si>
  <si>
    <t xml:space="preserve">Category </t>
  </si>
  <si>
    <t xml:space="preserve">Quantity </t>
  </si>
  <si>
    <t>Jane Smith</t>
  </si>
  <si>
    <t>Alex Moore</t>
  </si>
  <si>
    <t>Isabella Davis</t>
  </si>
  <si>
    <t>Isabella Moore</t>
  </si>
  <si>
    <t>Michael Johnson</t>
  </si>
  <si>
    <t>Jane Davis</t>
  </si>
  <si>
    <t>Daniel Davis</t>
  </si>
  <si>
    <t>Daniel Johnson</t>
  </si>
  <si>
    <t>Alex Wilson</t>
  </si>
  <si>
    <t>Shoes</t>
  </si>
  <si>
    <t>Headphones</t>
  </si>
  <si>
    <t>Laptop</t>
  </si>
  <si>
    <t>Table Lamp</t>
  </si>
  <si>
    <t>Sofa</t>
  </si>
  <si>
    <t>Backpack</t>
  </si>
  <si>
    <t>T-shirt</t>
  </si>
  <si>
    <t>Electronics</t>
  </si>
  <si>
    <t>Home Decor</t>
  </si>
  <si>
    <t>Clothing</t>
  </si>
  <si>
    <t>Unit Price ($)</t>
  </si>
  <si>
    <t>Input Message (Data Validation setup)
1) Select the Quantity column.
2) Go to Data → Data Validation.
3) Set Allow: Whole Number, Between 1 and 10.
4) In the Input Message tab, enter:
“Please enter a whole number between 1 and 10.”</t>
  </si>
  <si>
    <t>Error Alert Message
5) Go to the Error Alert tab.
6) Set the error message as:
“Invalid input! The quantity must be a whole number between 1 and 10.”
7) Click OK.</t>
  </si>
  <si>
    <t>Answer 5- a)</t>
  </si>
  <si>
    <t>Answer 5- b)</t>
  </si>
  <si>
    <t xml:space="preserve">Q6 ) </t>
  </si>
  <si>
    <t>Understand and apply fundamental text functions like LEFT, RIGHT, MID, and LEN.
Extract the first 5 characters from the string "ExcelTipsAreGreat" using the LEFT function.</t>
  </si>
  <si>
    <t>Answer 6-</t>
  </si>
  <si>
    <t xml:space="preserve">Character </t>
  </si>
  <si>
    <t xml:space="preserve">Left Function </t>
  </si>
  <si>
    <t>ExcelTipsAreGreat</t>
  </si>
  <si>
    <t>Extract the last 4 characters from "DataAnalysis.xlsx" using the RIGHT function.</t>
  </si>
  <si>
    <t xml:space="preserve">Right Function </t>
  </si>
  <si>
    <t>DataAnalysis.xlsx</t>
  </si>
  <si>
    <t>Extract the substring "Tips" from "ExcelTipsAreGreat" using the MID function.</t>
  </si>
  <si>
    <t xml:space="preserve">Mid Function </t>
  </si>
  <si>
    <t>Count the total number of characters in the string "Hello World!" using the LEN function.</t>
  </si>
  <si>
    <t xml:space="preserve">Len Function </t>
  </si>
  <si>
    <t>Hello World!</t>
  </si>
  <si>
    <t>Create a formula to extract the middle 6 characters from "12345-67890-ABCDE".</t>
  </si>
  <si>
    <t>12345-67890-ABCDE</t>
  </si>
  <si>
    <t>Q7 )</t>
  </si>
  <si>
    <t>Understand how to combine text using CONCAT, TEXTJOIN, and the &amp; operator.</t>
  </si>
  <si>
    <t>a) Use CONCAT to combine "Hello" and "World" with a space in between.</t>
  </si>
  <si>
    <t>Word 1</t>
  </si>
  <si>
    <t>Word 2</t>
  </si>
  <si>
    <t xml:space="preserve">Function </t>
  </si>
  <si>
    <t>Hello</t>
  </si>
  <si>
    <t>World</t>
  </si>
  <si>
    <t>b) Combine "Apple", "Banana", and "Cherry" into a single string separated by commas using TEXTJOIN.</t>
  </si>
  <si>
    <t>Word 3</t>
  </si>
  <si>
    <t>Apple</t>
  </si>
  <si>
    <t>Banana</t>
  </si>
  <si>
    <t>Cherry</t>
  </si>
  <si>
    <t>c) Use the &amp; operator to create the string "2025: Excel Functions" by combining "2025", ": ", and "Excel Functions".</t>
  </si>
  <si>
    <t>Excel Functions</t>
  </si>
  <si>
    <t>d) Create a comma-separated list from the range A1:A5 using TEXTJOIN</t>
  </si>
  <si>
    <t>List</t>
  </si>
  <si>
    <t>Aryan</t>
  </si>
  <si>
    <t>Ayan</t>
  </si>
  <si>
    <t>Affan</t>
  </si>
  <si>
    <t>Nanu</t>
  </si>
  <si>
    <t>e) Combine first names in column A with last names in column B to create full names in column C.</t>
  </si>
  <si>
    <t>Column A</t>
  </si>
  <si>
    <t>Column B</t>
  </si>
  <si>
    <t>Full Name</t>
  </si>
  <si>
    <t xml:space="preserve">Mohammad </t>
  </si>
  <si>
    <t>Anas</t>
  </si>
  <si>
    <t>Q8 )</t>
  </si>
  <si>
    <t>Understanding TODAY() and NOW()</t>
  </si>
  <si>
    <t>a) What is the difference between TODAY() and NOW() in Excel? Provide an example of when you would use each function?</t>
  </si>
  <si>
    <t xml:space="preserve">Answer 8-a) </t>
  </si>
  <si>
    <t>TODAY() → returns current date only</t>
  </si>
  <si>
    <t>NOW() → returns current date and time</t>
  </si>
  <si>
    <t xml:space="preserve">Today Function </t>
  </si>
  <si>
    <t xml:space="preserve">Now Function </t>
  </si>
  <si>
    <t>b) If cell A1 contains the date 2025-06-10, write a formula using TODAY() to determine how many days are left until that date?</t>
  </si>
  <si>
    <t>A1 cell</t>
  </si>
  <si>
    <t>c) Write an Excel formula using NOW() to display the current date and time in the format MM/DD/YYYY HH:MM AM/PM.</t>
  </si>
  <si>
    <t>Answer d) The TODAY() function updates automatically to the new current date.</t>
  </si>
  <si>
    <t>d) If a cell contains =TODAY(), what will happen when the worksheet is reopened the next day? Explain</t>
  </si>
  <si>
    <t>e) You want to store a static date (today’s date) in a cell without it changing every day. What keyboard shortcut should you use?</t>
  </si>
  <si>
    <t>Answer e) (Ctrl + ;) Shortcut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</si>
</sst>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39]#,##0"/>
    <numFmt numFmtId="165" formatCode="[$$-409]#,##0_);\([$$-409]#,##0\)"/>
    <numFmt numFmtId="166" formatCode="[$-409]d\-mmm\-yyyy;@"/>
    <numFmt numFmtId="167" formatCode="[$-409]m/d/yy\ h:mm\ AM/PM;@"/>
  </numFmts>
  <fonts count="12" x14ac:knownFonts="1">
    <font>
      <sz val="11"/>
      <color theme="1"/>
      <name val="Aptos Narrow"/>
      <family val="2"/>
      <scheme val="minor"/>
    </font>
    <font>
      <b/>
      <i/>
      <sz val="11"/>
      <color theme="1"/>
      <name val="Amasis MT Pro Black"/>
      <family val="34"/>
    </font>
    <font>
      <b/>
      <i/>
      <sz val="12"/>
      <color theme="1"/>
      <name val="Amasis MT Pro Black"/>
      <family val="34"/>
    </font>
    <font>
      <b/>
      <i/>
      <u/>
      <sz val="11"/>
      <color theme="1"/>
      <name val="Amasis MT Pro Black"/>
      <family val="34"/>
    </font>
    <font>
      <sz val="12"/>
      <color theme="1"/>
      <name val="Amasis MT Pro Black"/>
      <family val="34"/>
    </font>
    <font>
      <b/>
      <i/>
      <u/>
      <sz val="12"/>
      <color theme="1"/>
      <name val="Amasis MT Pro Black"/>
      <family val="34"/>
    </font>
    <font>
      <b/>
      <i/>
      <sz val="11"/>
      <color theme="1"/>
      <name val="Aptos Narrow"/>
      <family val="2"/>
      <scheme val="minor"/>
    </font>
    <font>
      <b/>
      <i/>
      <u/>
      <sz val="11"/>
      <color theme="1"/>
      <name val="Aptos Narrow"/>
      <family val="2"/>
      <scheme val="minor"/>
    </font>
    <font>
      <b/>
      <sz val="12"/>
      <color theme="1"/>
      <name val="Amasis MT Pro Black"/>
      <family val="34"/>
    </font>
    <font>
      <b/>
      <sz val="11"/>
      <color theme="1"/>
      <name val="Amasis MT Pro Black"/>
      <family val="34"/>
    </font>
    <font>
      <sz val="12"/>
      <color theme="1"/>
      <name val="Aptos Narrow"/>
      <family val="2"/>
    </font>
    <font>
      <b/>
      <sz val="12"/>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4">
    <border>
      <left/>
      <right/>
      <top/>
      <bottom/>
      <diagonal/>
    </border>
    <border>
      <left style="thin">
        <color rgb="FF505050"/>
      </left>
      <right style="thin">
        <color rgb="FF505050"/>
      </right>
      <top style="thin">
        <color rgb="FF505050"/>
      </top>
      <bottom style="thin">
        <color rgb="FF505050"/>
      </bottom>
      <diagonal/>
    </border>
    <border>
      <left style="medium">
        <color rgb="FF505050"/>
      </left>
      <right style="thin">
        <color rgb="FF505050"/>
      </right>
      <top style="medium">
        <color rgb="FF505050"/>
      </top>
      <bottom style="thin">
        <color rgb="FF505050"/>
      </bottom>
      <diagonal/>
    </border>
    <border>
      <left style="thin">
        <color rgb="FF505050"/>
      </left>
      <right style="thin">
        <color rgb="FF505050"/>
      </right>
      <top style="medium">
        <color rgb="FF505050"/>
      </top>
      <bottom style="thin">
        <color rgb="FF505050"/>
      </bottom>
      <diagonal/>
    </border>
    <border>
      <left style="thin">
        <color rgb="FF505050"/>
      </left>
      <right style="medium">
        <color rgb="FF505050"/>
      </right>
      <top style="medium">
        <color rgb="FF505050"/>
      </top>
      <bottom style="thin">
        <color rgb="FF505050"/>
      </bottom>
      <diagonal/>
    </border>
    <border>
      <left style="medium">
        <color rgb="FF505050"/>
      </left>
      <right style="thin">
        <color rgb="FF505050"/>
      </right>
      <top style="thin">
        <color rgb="FF505050"/>
      </top>
      <bottom style="thin">
        <color rgb="FF505050"/>
      </bottom>
      <diagonal/>
    </border>
    <border>
      <left style="thin">
        <color rgb="FF505050"/>
      </left>
      <right style="medium">
        <color rgb="FF505050"/>
      </right>
      <top style="thin">
        <color rgb="FF505050"/>
      </top>
      <bottom style="thin">
        <color rgb="FF505050"/>
      </bottom>
      <diagonal/>
    </border>
    <border>
      <left style="medium">
        <color rgb="FF505050"/>
      </left>
      <right style="thin">
        <color rgb="FF505050"/>
      </right>
      <top style="thin">
        <color rgb="FF505050"/>
      </top>
      <bottom style="medium">
        <color rgb="FF505050"/>
      </bottom>
      <diagonal/>
    </border>
    <border>
      <left style="thin">
        <color rgb="FF505050"/>
      </left>
      <right style="thin">
        <color rgb="FF505050"/>
      </right>
      <top style="thin">
        <color rgb="FF505050"/>
      </top>
      <bottom style="medium">
        <color rgb="FF505050"/>
      </bottom>
      <diagonal/>
    </border>
    <border>
      <left style="thin">
        <color rgb="FF505050"/>
      </left>
      <right style="medium">
        <color rgb="FF505050"/>
      </right>
      <top style="thin">
        <color rgb="FF505050"/>
      </top>
      <bottom style="medium">
        <color rgb="FF505050"/>
      </bottom>
      <diagonal/>
    </border>
    <border>
      <left style="medium">
        <color rgb="FF505050"/>
      </left>
      <right/>
      <top/>
      <bottom/>
      <diagonal/>
    </border>
    <border>
      <left style="medium">
        <color rgb="FF505050"/>
      </left>
      <right/>
      <top style="medium">
        <color rgb="FF505050"/>
      </top>
      <bottom/>
      <diagonal/>
    </border>
    <border>
      <left/>
      <right style="medium">
        <color rgb="FF505050"/>
      </right>
      <top style="medium">
        <color rgb="FF505050"/>
      </top>
      <bottom/>
      <diagonal/>
    </border>
    <border>
      <left/>
      <right style="medium">
        <color rgb="FF505050"/>
      </right>
      <top/>
      <bottom/>
      <diagonal/>
    </border>
    <border>
      <left style="medium">
        <color rgb="FF505050"/>
      </left>
      <right/>
      <top/>
      <bottom style="medium">
        <color rgb="FF505050"/>
      </bottom>
      <diagonal/>
    </border>
    <border>
      <left/>
      <right style="medium">
        <color rgb="FF505050"/>
      </right>
      <top/>
      <bottom style="medium">
        <color rgb="FF505050"/>
      </bottom>
      <diagonal/>
    </border>
    <border>
      <left style="thin">
        <color rgb="FF505050"/>
      </left>
      <right/>
      <top style="medium">
        <color rgb="FF505050"/>
      </top>
      <bottom style="thin">
        <color rgb="FF505050"/>
      </bottom>
      <diagonal/>
    </border>
    <border>
      <left style="thin">
        <color rgb="FF505050"/>
      </left>
      <right/>
      <top style="thin">
        <color rgb="FF505050"/>
      </top>
      <bottom style="thin">
        <color rgb="FF505050"/>
      </bottom>
      <diagonal/>
    </border>
    <border>
      <left style="thin">
        <color rgb="FF505050"/>
      </left>
      <right/>
      <top style="thin">
        <color rgb="FF505050"/>
      </top>
      <bottom style="medium">
        <color rgb="FF505050"/>
      </bottom>
      <diagonal/>
    </border>
    <border>
      <left style="thin">
        <color rgb="FF505050"/>
      </left>
      <right style="medium">
        <color rgb="FF505050"/>
      </right>
      <top style="medium">
        <color rgb="FF505050"/>
      </top>
      <bottom/>
      <diagonal/>
    </border>
    <border>
      <left style="thin">
        <color rgb="FF505050"/>
      </left>
      <right style="medium">
        <color rgb="FF505050"/>
      </right>
      <top/>
      <bottom/>
      <diagonal/>
    </border>
    <border>
      <left style="thin">
        <color rgb="FF505050"/>
      </left>
      <right style="medium">
        <color rgb="FF505050"/>
      </right>
      <top/>
      <bottom style="medium">
        <color rgb="FF505050"/>
      </bottom>
      <diagonal/>
    </border>
    <border>
      <left style="medium">
        <color rgb="FF505050"/>
      </left>
      <right/>
      <top style="medium">
        <color rgb="FF505050"/>
      </top>
      <bottom style="medium">
        <color rgb="FF505050"/>
      </bottom>
      <diagonal/>
    </border>
    <border>
      <left style="thin">
        <color rgb="FF505050"/>
      </left>
      <right style="medium">
        <color rgb="FF505050"/>
      </right>
      <top style="medium">
        <color rgb="FF505050"/>
      </top>
      <bottom style="medium">
        <color rgb="FF505050"/>
      </bottom>
      <diagonal/>
    </border>
  </borders>
  <cellStyleXfs count="1">
    <xf numFmtId="0" fontId="0" fillId="0" borderId="0"/>
  </cellStyleXfs>
  <cellXfs count="108">
    <xf numFmtId="0" fontId="0" fillId="0" borderId="0" xfId="0"/>
    <xf numFmtId="0" fontId="2" fillId="0" borderId="0" xfId="0" applyFont="1" applyAlignment="1">
      <alignment vertical="center" wrapText="1"/>
    </xf>
    <xf numFmtId="0" fontId="3" fillId="0" borderId="0" xfId="0" applyFont="1"/>
    <xf numFmtId="0" fontId="0" fillId="0" borderId="0" xfId="0" applyAlignment="1">
      <alignmen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6" xfId="0" applyNumberFormat="1" applyBorder="1" applyAlignment="1">
      <alignment horizontal="center"/>
    </xf>
    <xf numFmtId="164" fontId="0" fillId="0" borderId="9" xfId="0" applyNumberFormat="1" applyBorder="1" applyAlignment="1">
      <alignment horizontal="center"/>
    </xf>
    <xf numFmtId="0" fontId="4" fillId="2" borderId="2" xfId="0" applyFont="1" applyFill="1" applyBorder="1" applyAlignment="1">
      <alignment horizontal="center" vertical="center" wrapText="1"/>
    </xf>
    <xf numFmtId="0" fontId="0" fillId="2" borderId="5" xfId="0" applyFill="1" applyBorder="1" applyAlignment="1">
      <alignment horizontal="center"/>
    </xf>
    <xf numFmtId="0" fontId="0" fillId="2" borderId="7" xfId="0" applyFill="1" applyBorder="1" applyAlignment="1">
      <alignment horizontal="center"/>
    </xf>
    <xf numFmtId="0" fontId="4" fillId="0" borderId="16" xfId="0" applyFont="1" applyBorder="1" applyAlignment="1">
      <alignment horizontal="center" vertical="center" wrapText="1"/>
    </xf>
    <xf numFmtId="164" fontId="0" fillId="0" borderId="17" xfId="0" applyNumberFormat="1" applyBorder="1" applyAlignment="1">
      <alignment horizontal="center"/>
    </xf>
    <xf numFmtId="164" fontId="0" fillId="0" borderId="18" xfId="0" applyNumberFormat="1" applyBorder="1" applyAlignment="1">
      <alignment horizontal="center"/>
    </xf>
    <xf numFmtId="0" fontId="4" fillId="2" borderId="16" xfId="0" applyFont="1" applyFill="1" applyBorder="1" applyAlignment="1">
      <alignment horizontal="center" vertical="center" wrapText="1"/>
    </xf>
    <xf numFmtId="164" fontId="0" fillId="2" borderId="17" xfId="0" applyNumberFormat="1" applyFill="1" applyBorder="1" applyAlignment="1">
      <alignment horizontal="center"/>
    </xf>
    <xf numFmtId="164" fontId="0" fillId="2" borderId="18" xfId="0" applyNumberFormat="1" applyFill="1" applyBorder="1" applyAlignment="1">
      <alignment horizontal="center"/>
    </xf>
    <xf numFmtId="0" fontId="5" fillId="0" borderId="0" xfId="0" applyFont="1"/>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0" fillId="0" borderId="17" xfId="0" applyBorder="1" applyAlignment="1">
      <alignment horizontal="center"/>
    </xf>
    <xf numFmtId="0" fontId="0" fillId="0" borderId="6" xfId="0" applyBorder="1" applyAlignment="1">
      <alignment horizontal="center"/>
    </xf>
    <xf numFmtId="0" fontId="2" fillId="0" borderId="0" xfId="0" applyFont="1" applyAlignment="1">
      <alignment vertical="center"/>
    </xf>
    <xf numFmtId="0" fontId="5" fillId="0" borderId="0" xfId="0" applyFont="1" applyAlignment="1">
      <alignment horizontal="center" vertical="center"/>
    </xf>
    <xf numFmtId="14" fontId="0" fillId="0" borderId="1" xfId="0" applyNumberFormat="1" applyBorder="1" applyAlignment="1">
      <alignment horizontal="center" vertical="center"/>
    </xf>
    <xf numFmtId="0" fontId="0" fillId="0" borderId="0" xfId="0" applyAlignment="1"/>
    <xf numFmtId="0" fontId="4" fillId="0" borderId="0" xfId="0" applyFont="1" applyAlignment="1">
      <alignment wrapText="1"/>
    </xf>
    <xf numFmtId="0" fontId="0" fillId="0" borderId="0" xfId="0" applyBorder="1"/>
    <xf numFmtId="0" fontId="0" fillId="0" borderId="7" xfId="0" applyBorder="1"/>
    <xf numFmtId="0" fontId="0" fillId="0" borderId="5"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5" fontId="0" fillId="0" borderId="6" xfId="0" applyNumberFormat="1" applyBorder="1" applyAlignment="1">
      <alignment horizontal="center" vertical="center"/>
    </xf>
    <xf numFmtId="165" fontId="0" fillId="0" borderId="9" xfId="0" applyNumberFormat="1" applyBorder="1" applyAlignment="1">
      <alignment horizontal="center" vertical="center"/>
    </xf>
    <xf numFmtId="0" fontId="5" fillId="0" borderId="0" xfId="0" applyFont="1" applyAlignment="1">
      <alignment horizontal="right"/>
    </xf>
    <xf numFmtId="0" fontId="5" fillId="0" borderId="0" xfId="0" applyFont="1" applyAlignment="1">
      <alignment horizontal="right" vertical="center"/>
    </xf>
    <xf numFmtId="0" fontId="2" fillId="0" borderId="0" xfId="0" applyFont="1" applyAlignment="1">
      <alignment horizontal="left"/>
    </xf>
    <xf numFmtId="0" fontId="2" fillId="0" borderId="0" xfId="0" applyFont="1" applyAlignment="1">
      <alignment horizontal="right"/>
    </xf>
    <xf numFmtId="0" fontId="0" fillId="0" borderId="9" xfId="0" applyBorder="1" applyAlignment="1">
      <alignment horizontal="center"/>
    </xf>
    <xf numFmtId="0" fontId="10" fillId="0" borderId="7" xfId="0" applyFont="1" applyBorder="1"/>
    <xf numFmtId="0" fontId="10" fillId="0" borderId="8" xfId="0" applyFont="1" applyBorder="1"/>
    <xf numFmtId="0" fontId="10" fillId="0" borderId="9" xfId="0" applyFont="1" applyBorder="1"/>
    <xf numFmtId="0" fontId="11" fillId="0" borderId="5" xfId="0" applyFont="1" applyBorder="1" applyAlignment="1">
      <alignment horizontal="center" vertical="center"/>
    </xf>
    <xf numFmtId="0" fontId="11" fillId="0" borderId="7" xfId="0" applyFont="1" applyBorder="1" applyAlignment="1">
      <alignment horizontal="center" vertical="center"/>
    </xf>
    <xf numFmtId="0" fontId="8" fillId="2" borderId="2" xfId="0" applyFont="1" applyFill="1" applyBorder="1" applyAlignment="1">
      <alignment horizontal="center" vertical="center"/>
    </xf>
    <xf numFmtId="22" fontId="0" fillId="0" borderId="8" xfId="0" applyNumberFormat="1" applyBorder="1" applyAlignment="1">
      <alignment horizontal="center"/>
    </xf>
    <xf numFmtId="166" fontId="0" fillId="0" borderId="7" xfId="0" applyNumberFormat="1" applyBorder="1" applyAlignment="1">
      <alignment horizontal="center"/>
    </xf>
    <xf numFmtId="1" fontId="0" fillId="0" borderId="8" xfId="0" applyNumberFormat="1" applyBorder="1" applyAlignment="1">
      <alignment horizontal="center"/>
    </xf>
    <xf numFmtId="167" fontId="0" fillId="0" borderId="23" xfId="0" applyNumberFormat="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1" fillId="2" borderId="17" xfId="0" applyFont="1" applyFill="1" applyBorder="1" applyAlignment="1">
      <alignment horizontal="center" vertical="center"/>
    </xf>
    <xf numFmtId="0" fontId="6" fillId="2" borderId="3" xfId="0" applyFont="1" applyFill="1" applyBorder="1" applyAlignment="1">
      <alignment horizontal="center"/>
    </xf>
    <xf numFmtId="0" fontId="6" fillId="2" borderId="16" xfId="0" applyFont="1" applyFill="1" applyBorder="1" applyAlignment="1">
      <alignment horizontal="center"/>
    </xf>
    <xf numFmtId="0" fontId="6" fillId="2" borderId="4" xfId="0" applyFont="1" applyFill="1" applyBorder="1" applyAlignment="1">
      <alignment horizont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9" fillId="2" borderId="4" xfId="0" applyFont="1" applyFill="1" applyBorder="1" applyAlignment="1">
      <alignment horizontal="center"/>
    </xf>
    <xf numFmtId="0" fontId="2" fillId="2" borderId="2" xfId="0" applyFont="1" applyFill="1" applyBorder="1"/>
    <xf numFmtId="0" fontId="2" fillId="2" borderId="3" xfId="0" applyFont="1" applyFill="1" applyBorder="1"/>
    <xf numFmtId="0" fontId="2" fillId="2" borderId="4" xfId="0" applyFont="1" applyFill="1" applyBorder="1"/>
    <xf numFmtId="0" fontId="9" fillId="2" borderId="22" xfId="0" applyFont="1" applyFill="1" applyBorder="1" applyAlignment="1">
      <alignment horizontal="center"/>
    </xf>
    <xf numFmtId="0" fontId="2" fillId="0" borderId="0" xfId="0" applyFont="1" applyAlignment="1">
      <alignment horizontal="left" wrapText="1"/>
    </xf>
    <xf numFmtId="0" fontId="0" fillId="0" borderId="0" xfId="0" applyAlignment="1">
      <alignment horizontal="left"/>
    </xf>
    <xf numFmtId="0" fontId="2" fillId="0" borderId="0" xfId="0" applyFont="1" applyAlignment="1">
      <alignment horizontal="left"/>
    </xf>
    <xf numFmtId="0" fontId="2" fillId="0" borderId="0" xfId="0" applyFont="1" applyAlignment="1">
      <alignment horizontal="left" vertical="center"/>
    </xf>
    <xf numFmtId="0" fontId="4" fillId="0" borderId="0" xfId="0" applyFont="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center" vertical="center" wrapText="1"/>
    </xf>
    <xf numFmtId="0" fontId="1" fillId="0" borderId="0" xfId="0" applyFont="1" applyAlignment="1">
      <alignment horizontal="center" vertical="center"/>
    </xf>
    <xf numFmtId="0" fontId="6" fillId="0" borderId="0" xfId="0" applyFont="1" applyAlignment="1">
      <alignment horizontal="center"/>
    </xf>
    <xf numFmtId="0" fontId="7" fillId="0" borderId="0" xfId="0" applyFont="1" applyAlignment="1">
      <alignment horizontal="left"/>
    </xf>
    <xf numFmtId="0" fontId="2" fillId="0" borderId="0" xfId="0" applyFont="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0" borderId="10" xfId="0" applyFont="1" applyBorder="1" applyAlignment="1">
      <alignment horizont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1" fillId="0" borderId="15" xfId="0" applyFont="1" applyBorder="1" applyAlignment="1">
      <alignment horizontal="center" wrapText="1"/>
    </xf>
    <xf numFmtId="0" fontId="2" fillId="0" borderId="0" xfId="0" applyFont="1" applyAlignment="1">
      <alignment horizontal="left" vertical="top" wrapText="1"/>
    </xf>
    <xf numFmtId="0" fontId="2" fillId="0" borderId="0" xfId="0" applyFont="1" applyAlignment="1">
      <alignment horizontal="center" vertical="top"/>
    </xf>
    <xf numFmtId="0" fontId="0" fillId="0" borderId="0" xfId="0" applyBorder="1" applyAlignment="1">
      <alignment horizontal="left" vertical="top" wrapText="1"/>
    </xf>
    <xf numFmtId="0" fontId="0" fillId="0" borderId="0" xfId="0" applyAlignment="1">
      <alignment horizontal="left" vertical="top"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0" xfId="0" applyFont="1" applyAlignment="1">
      <alignment horizontal="center" wrapText="1"/>
    </xf>
    <xf numFmtId="0" fontId="4" fillId="0" borderId="0" xfId="0" applyFont="1" applyAlignment="1">
      <alignment horizontal="left" vertical="top" wrapText="1"/>
    </xf>
    <xf numFmtId="0" fontId="4" fillId="0" borderId="0" xfId="0" applyFont="1" applyAlignment="1">
      <alignment horizontal="right" vertical="top" wrapText="1"/>
    </xf>
    <xf numFmtId="0" fontId="8"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31E8-C909-E040-BFF4-3188C00695F2}">
  <dimension ref="A2:J190"/>
  <sheetViews>
    <sheetView tabSelected="1" zoomScaleNormal="60" zoomScaleSheetLayoutView="100" workbookViewId="0">
      <selection activeCell="E195" sqref="E195"/>
    </sheetView>
  </sheetViews>
  <sheetFormatPr defaultRowHeight="15" x14ac:dyDescent="0.2"/>
  <cols>
    <col min="1" max="1" width="15.19921875" bestFit="1" customWidth="1"/>
    <col min="2" max="2" width="19.234375" bestFit="1" customWidth="1"/>
    <col min="3" max="3" width="18.83203125" customWidth="1"/>
    <col min="4" max="4" width="20.3125" bestFit="1" customWidth="1"/>
    <col min="5" max="5" width="22.46484375" bestFit="1" customWidth="1"/>
    <col min="6" max="6" width="11.8359375" bestFit="1" customWidth="1"/>
    <col min="7" max="7" width="13.046875" bestFit="1" customWidth="1"/>
  </cols>
  <sheetData>
    <row r="2" spans="1:9" ht="15.75" customHeight="1" x14ac:dyDescent="0.2">
      <c r="A2" s="80" t="s">
        <v>0</v>
      </c>
      <c r="B2" s="80"/>
      <c r="C2" s="80"/>
      <c r="D2" s="80"/>
      <c r="E2" s="80"/>
      <c r="F2" s="80"/>
      <c r="G2" s="80"/>
      <c r="H2" s="80"/>
      <c r="I2" s="80"/>
    </row>
    <row r="3" spans="1:9" ht="15" customHeight="1" x14ac:dyDescent="0.2">
      <c r="A3" s="1"/>
      <c r="B3" s="1"/>
      <c r="C3" s="1"/>
      <c r="D3" s="1"/>
      <c r="E3" s="1"/>
      <c r="F3" s="1"/>
      <c r="G3" s="1"/>
      <c r="H3" s="1"/>
      <c r="I3" s="1"/>
    </row>
    <row r="4" spans="1:9" ht="15" customHeight="1" x14ac:dyDescent="0.2">
      <c r="A4" s="2" t="s">
        <v>1</v>
      </c>
      <c r="B4" s="78" t="s">
        <v>2</v>
      </c>
      <c r="C4" s="78"/>
      <c r="D4" s="78"/>
      <c r="E4" s="78"/>
      <c r="F4" s="78"/>
      <c r="G4" s="78"/>
      <c r="H4" s="78"/>
      <c r="I4" s="78"/>
    </row>
    <row r="5" spans="1:9" x14ac:dyDescent="0.2">
      <c r="B5" s="78"/>
      <c r="C5" s="78"/>
      <c r="D5" s="78"/>
      <c r="E5" s="78"/>
      <c r="F5" s="78"/>
      <c r="G5" s="78"/>
      <c r="H5" s="78"/>
      <c r="I5" s="78"/>
    </row>
    <row r="6" spans="1:9" x14ac:dyDescent="0.2">
      <c r="B6" s="78"/>
      <c r="C6" s="78"/>
      <c r="D6" s="78"/>
      <c r="E6" s="78"/>
      <c r="F6" s="78"/>
      <c r="G6" s="78"/>
      <c r="H6" s="78"/>
      <c r="I6" s="78"/>
    </row>
    <row r="7" spans="1:9" x14ac:dyDescent="0.2">
      <c r="A7" s="81" t="s">
        <v>3</v>
      </c>
      <c r="B7" s="81"/>
      <c r="C7" s="81"/>
      <c r="D7" s="81"/>
      <c r="E7" s="81"/>
      <c r="F7" s="81"/>
      <c r="G7" s="81"/>
      <c r="H7" s="81"/>
      <c r="I7" s="81"/>
    </row>
    <row r="8" spans="1:9" ht="15" customHeight="1" x14ac:dyDescent="0.2">
      <c r="A8" s="3"/>
      <c r="B8" s="78" t="s">
        <v>4</v>
      </c>
      <c r="C8" s="78"/>
      <c r="D8" s="78"/>
      <c r="E8" s="78"/>
      <c r="F8" s="78"/>
      <c r="G8" s="78"/>
      <c r="H8" s="78"/>
      <c r="I8" s="78"/>
    </row>
    <row r="9" spans="1:9" x14ac:dyDescent="0.2">
      <c r="A9" s="3"/>
      <c r="B9" s="78"/>
      <c r="C9" s="78"/>
      <c r="D9" s="78"/>
      <c r="E9" s="78"/>
      <c r="F9" s="78"/>
      <c r="G9" s="78"/>
      <c r="H9" s="78"/>
      <c r="I9" s="78"/>
    </row>
    <row r="10" spans="1:9" x14ac:dyDescent="0.2">
      <c r="A10" s="81" t="s">
        <v>5</v>
      </c>
      <c r="B10" s="81"/>
      <c r="C10" s="81"/>
      <c r="D10" s="81"/>
      <c r="E10" s="81"/>
      <c r="F10" s="81"/>
      <c r="G10" s="81"/>
      <c r="H10" s="81"/>
      <c r="I10" s="81"/>
    </row>
    <row r="11" spans="1:9" ht="15" customHeight="1" x14ac:dyDescent="0.2">
      <c r="B11" s="78" t="s">
        <v>6</v>
      </c>
      <c r="C11" s="78"/>
      <c r="D11" s="78"/>
      <c r="E11" s="78"/>
      <c r="F11" s="78"/>
      <c r="G11" s="78"/>
      <c r="H11" s="78"/>
      <c r="I11" s="78"/>
    </row>
    <row r="12" spans="1:9" x14ac:dyDescent="0.2">
      <c r="B12" s="78"/>
      <c r="C12" s="78"/>
      <c r="D12" s="78"/>
      <c r="E12" s="78"/>
      <c r="F12" s="78"/>
      <c r="G12" s="78"/>
      <c r="H12" s="78"/>
      <c r="I12" s="78"/>
    </row>
    <row r="13" spans="1:9" x14ac:dyDescent="0.2">
      <c r="B13" s="78"/>
      <c r="C13" s="78"/>
      <c r="D13" s="78"/>
      <c r="E13" s="78"/>
      <c r="F13" s="78"/>
      <c r="G13" s="78"/>
      <c r="H13" s="78"/>
      <c r="I13" s="78"/>
    </row>
    <row r="14" spans="1:9" x14ac:dyDescent="0.2">
      <c r="B14" s="78"/>
      <c r="C14" s="78"/>
      <c r="D14" s="78"/>
      <c r="E14" s="78"/>
      <c r="F14" s="78"/>
      <c r="G14" s="78"/>
      <c r="H14" s="78"/>
      <c r="I14" s="78"/>
    </row>
    <row r="15" spans="1:9" x14ac:dyDescent="0.2">
      <c r="B15" s="78"/>
      <c r="C15" s="78"/>
      <c r="D15" s="78"/>
      <c r="E15" s="78"/>
      <c r="F15" s="78"/>
      <c r="G15" s="78"/>
      <c r="H15" s="78"/>
      <c r="I15" s="78"/>
    </row>
    <row r="16" spans="1:9" x14ac:dyDescent="0.2">
      <c r="B16" s="78"/>
      <c r="C16" s="78"/>
      <c r="D16" s="78"/>
      <c r="E16" s="78"/>
      <c r="F16" s="78"/>
      <c r="G16" s="78"/>
      <c r="H16" s="78"/>
      <c r="I16" s="78"/>
    </row>
    <row r="17" spans="1:9" x14ac:dyDescent="0.2">
      <c r="B17" s="78"/>
      <c r="C17" s="78"/>
      <c r="D17" s="78"/>
      <c r="E17" s="78"/>
      <c r="F17" s="78"/>
      <c r="G17" s="78"/>
      <c r="H17" s="78"/>
      <c r="I17" s="78"/>
    </row>
    <row r="18" spans="1:9" x14ac:dyDescent="0.2">
      <c r="B18" s="78"/>
      <c r="C18" s="78"/>
      <c r="D18" s="78"/>
      <c r="E18" s="78"/>
      <c r="F18" s="78"/>
      <c r="G18" s="78"/>
      <c r="H18" s="78"/>
      <c r="I18" s="78"/>
    </row>
    <row r="19" spans="1:9" ht="15" customHeight="1" x14ac:dyDescent="0.2">
      <c r="A19" s="80" t="s">
        <v>7</v>
      </c>
      <c r="B19" s="80"/>
      <c r="C19" s="80"/>
      <c r="D19" s="80"/>
      <c r="E19" s="80"/>
      <c r="F19" s="80"/>
      <c r="G19" s="80"/>
      <c r="H19" s="80"/>
      <c r="I19" s="80"/>
    </row>
    <row r="20" spans="1:9" x14ac:dyDescent="0.2">
      <c r="A20" s="80"/>
      <c r="B20" s="80"/>
      <c r="C20" s="80"/>
      <c r="D20" s="80"/>
      <c r="E20" s="80"/>
      <c r="F20" s="80"/>
      <c r="G20" s="80"/>
      <c r="H20" s="80"/>
      <c r="I20" s="80"/>
    </row>
    <row r="21" spans="1:9" ht="15.75" thickBot="1" x14ac:dyDescent="0.25">
      <c r="A21" s="3"/>
      <c r="B21" s="3"/>
      <c r="C21" s="3"/>
      <c r="D21" s="3"/>
      <c r="E21" s="3"/>
      <c r="F21" s="3"/>
      <c r="G21" s="3"/>
      <c r="H21" s="3"/>
      <c r="I21" s="3"/>
    </row>
    <row r="22" spans="1:9" x14ac:dyDescent="0.2">
      <c r="A22" s="3"/>
      <c r="B22" s="12" t="s">
        <v>8</v>
      </c>
      <c r="C22" s="62" t="s">
        <v>9</v>
      </c>
      <c r="D22" s="63" t="s">
        <v>10</v>
      </c>
      <c r="E22" s="3"/>
      <c r="F22" s="3"/>
      <c r="G22" s="3"/>
      <c r="H22" s="3"/>
      <c r="I22" s="3"/>
    </row>
    <row r="23" spans="1:9" x14ac:dyDescent="0.2">
      <c r="B23" s="6" t="s">
        <v>11</v>
      </c>
      <c r="C23" s="7" t="s">
        <v>14</v>
      </c>
      <c r="D23" s="10">
        <v>4000</v>
      </c>
    </row>
    <row r="24" spans="1:9" x14ac:dyDescent="0.2">
      <c r="B24" s="6" t="s">
        <v>12</v>
      </c>
      <c r="C24" s="7" t="s">
        <v>15</v>
      </c>
      <c r="D24" s="10">
        <v>5000</v>
      </c>
    </row>
    <row r="25" spans="1:9" ht="15.75" thickBot="1" x14ac:dyDescent="0.25">
      <c r="B25" s="8" t="s">
        <v>13</v>
      </c>
      <c r="C25" s="9" t="s">
        <v>14</v>
      </c>
      <c r="D25" s="11">
        <v>2500</v>
      </c>
    </row>
    <row r="27" spans="1:9" ht="15" customHeight="1" x14ac:dyDescent="0.2">
      <c r="A27" s="2" t="s">
        <v>16</v>
      </c>
      <c r="B27" s="78" t="s">
        <v>17</v>
      </c>
      <c r="C27" s="78"/>
      <c r="D27" s="78"/>
      <c r="E27" s="78"/>
      <c r="F27" s="78"/>
      <c r="G27" s="78"/>
      <c r="H27" s="78"/>
      <c r="I27" s="78"/>
    </row>
    <row r="28" spans="1:9" x14ac:dyDescent="0.2">
      <c r="B28" s="78"/>
      <c r="C28" s="78"/>
      <c r="D28" s="78"/>
      <c r="E28" s="78"/>
      <c r="F28" s="78"/>
      <c r="G28" s="78"/>
      <c r="H28" s="78"/>
      <c r="I28" s="78"/>
    </row>
    <row r="29" spans="1:9" x14ac:dyDescent="0.2">
      <c r="B29" s="78"/>
      <c r="C29" s="78"/>
      <c r="D29" s="78"/>
      <c r="E29" s="78"/>
      <c r="F29" s="78"/>
      <c r="G29" s="78"/>
      <c r="H29" s="78"/>
      <c r="I29" s="78"/>
    </row>
    <row r="30" spans="1:9" x14ac:dyDescent="0.2">
      <c r="B30" s="78"/>
      <c r="C30" s="78"/>
      <c r="D30" s="78"/>
      <c r="E30" s="78"/>
      <c r="F30" s="78"/>
      <c r="G30" s="78"/>
      <c r="H30" s="78"/>
      <c r="I30" s="78"/>
    </row>
    <row r="31" spans="1:9" x14ac:dyDescent="0.2">
      <c r="B31" s="78"/>
      <c r="C31" s="78"/>
      <c r="D31" s="78"/>
      <c r="E31" s="78"/>
      <c r="F31" s="78"/>
      <c r="G31" s="78"/>
      <c r="H31" s="78"/>
      <c r="I31" s="78"/>
    </row>
    <row r="32" spans="1:9" x14ac:dyDescent="0.2">
      <c r="B32" s="78"/>
      <c r="C32" s="78"/>
      <c r="D32" s="78"/>
      <c r="E32" s="78"/>
      <c r="F32" s="78"/>
      <c r="G32" s="78"/>
      <c r="H32" s="78"/>
      <c r="I32" s="78"/>
    </row>
    <row r="33" spans="1:9" ht="15.75" thickBot="1" x14ac:dyDescent="0.25">
      <c r="B33" s="78"/>
      <c r="C33" s="78"/>
      <c r="D33" s="78"/>
      <c r="E33" s="78"/>
      <c r="F33" s="78"/>
      <c r="G33" s="78"/>
      <c r="H33" s="78"/>
      <c r="I33" s="78"/>
    </row>
    <row r="34" spans="1:9" ht="15.75" customHeight="1" x14ac:dyDescent="0.2">
      <c r="B34" s="12" t="s">
        <v>8</v>
      </c>
      <c r="C34" s="5" t="s">
        <v>9</v>
      </c>
      <c r="D34" s="15" t="s">
        <v>10</v>
      </c>
      <c r="E34" s="88" t="s">
        <v>18</v>
      </c>
      <c r="F34" s="89"/>
    </row>
    <row r="35" spans="1:9" x14ac:dyDescent="0.2">
      <c r="B35" s="13" t="s">
        <v>12</v>
      </c>
      <c r="C35" s="7" t="s">
        <v>15</v>
      </c>
      <c r="D35" s="16">
        <v>5000</v>
      </c>
      <c r="E35" s="90"/>
      <c r="F35" s="91"/>
    </row>
    <row r="36" spans="1:9" x14ac:dyDescent="0.2">
      <c r="B36" s="13" t="s">
        <v>13</v>
      </c>
      <c r="C36" s="7" t="s">
        <v>14</v>
      </c>
      <c r="D36" s="16">
        <v>2500</v>
      </c>
      <c r="E36" s="90"/>
      <c r="F36" s="91"/>
    </row>
    <row r="37" spans="1:9" ht="15.75" thickBot="1" x14ac:dyDescent="0.25">
      <c r="B37" s="14" t="s">
        <v>11</v>
      </c>
      <c r="C37" s="9" t="s">
        <v>14</v>
      </c>
      <c r="D37" s="17">
        <v>4000</v>
      </c>
      <c r="E37" s="92"/>
      <c r="F37" s="93"/>
    </row>
    <row r="38" spans="1:9" ht="15.75" thickBot="1" x14ac:dyDescent="0.25"/>
    <row r="39" spans="1:9" x14ac:dyDescent="0.2">
      <c r="B39" s="4" t="s">
        <v>8</v>
      </c>
      <c r="C39" s="5" t="s">
        <v>9</v>
      </c>
      <c r="D39" s="18" t="s">
        <v>10</v>
      </c>
      <c r="E39" s="98" t="s">
        <v>19</v>
      </c>
      <c r="F39" s="99"/>
    </row>
    <row r="40" spans="1:9" x14ac:dyDescent="0.2">
      <c r="B40" s="6" t="s">
        <v>12</v>
      </c>
      <c r="C40" s="7" t="s">
        <v>15</v>
      </c>
      <c r="D40" s="19">
        <v>5000</v>
      </c>
      <c r="E40" s="100"/>
      <c r="F40" s="101"/>
    </row>
    <row r="41" spans="1:9" x14ac:dyDescent="0.2">
      <c r="B41" s="6" t="s">
        <v>11</v>
      </c>
      <c r="C41" s="7" t="s">
        <v>14</v>
      </c>
      <c r="D41" s="19">
        <v>4000</v>
      </c>
      <c r="E41" s="100"/>
      <c r="F41" s="101"/>
    </row>
    <row r="42" spans="1:9" ht="15.75" thickBot="1" x14ac:dyDescent="0.25">
      <c r="B42" s="8" t="s">
        <v>13</v>
      </c>
      <c r="C42" s="9" t="s">
        <v>14</v>
      </c>
      <c r="D42" s="20">
        <v>2500</v>
      </c>
      <c r="E42" s="102"/>
      <c r="F42" s="103"/>
    </row>
    <row r="44" spans="1:9" x14ac:dyDescent="0.2">
      <c r="A44" s="104" t="s">
        <v>20</v>
      </c>
      <c r="B44" s="104"/>
      <c r="C44" s="104"/>
      <c r="D44" s="104"/>
      <c r="E44" s="104"/>
      <c r="F44" s="104"/>
      <c r="G44" s="104"/>
      <c r="H44" s="104"/>
      <c r="I44" s="104"/>
    </row>
    <row r="45" spans="1:9" x14ac:dyDescent="0.2">
      <c r="A45" s="104"/>
      <c r="B45" s="104"/>
      <c r="C45" s="104"/>
      <c r="D45" s="104"/>
      <c r="E45" s="104"/>
      <c r="F45" s="104"/>
      <c r="G45" s="104"/>
      <c r="H45" s="104"/>
      <c r="I45" s="104"/>
    </row>
    <row r="47" spans="1:9" ht="15.75" customHeight="1" x14ac:dyDescent="0.2">
      <c r="A47" s="21" t="s">
        <v>21</v>
      </c>
      <c r="B47" s="78" t="s">
        <v>22</v>
      </c>
      <c r="C47" s="78"/>
      <c r="D47" s="78"/>
      <c r="E47" s="78"/>
      <c r="F47" s="78"/>
      <c r="G47" s="78"/>
      <c r="H47" s="78"/>
      <c r="I47" s="78"/>
    </row>
    <row r="48" spans="1:9" x14ac:dyDescent="0.2">
      <c r="B48" s="78"/>
      <c r="C48" s="78"/>
      <c r="D48" s="78"/>
      <c r="E48" s="78"/>
      <c r="F48" s="78"/>
      <c r="G48" s="78"/>
      <c r="H48" s="78"/>
      <c r="I48" s="78"/>
    </row>
    <row r="49" spans="1:9" x14ac:dyDescent="0.2">
      <c r="B49" s="78"/>
      <c r="C49" s="78"/>
      <c r="D49" s="78"/>
      <c r="E49" s="78"/>
      <c r="F49" s="78"/>
      <c r="G49" s="78"/>
      <c r="H49" s="78"/>
      <c r="I49" s="78"/>
    </row>
    <row r="50" spans="1:9" x14ac:dyDescent="0.2">
      <c r="B50" s="78"/>
      <c r="C50" s="78"/>
      <c r="D50" s="78"/>
      <c r="E50" s="78"/>
      <c r="F50" s="78"/>
      <c r="G50" s="78"/>
      <c r="H50" s="78"/>
      <c r="I50" s="78"/>
    </row>
    <row r="51" spans="1:9" x14ac:dyDescent="0.2">
      <c r="B51" s="78"/>
      <c r="C51" s="78"/>
      <c r="D51" s="78"/>
      <c r="E51" s="78"/>
      <c r="F51" s="78"/>
      <c r="G51" s="78"/>
      <c r="H51" s="78"/>
      <c r="I51" s="78"/>
    </row>
    <row r="52" spans="1:9" x14ac:dyDescent="0.2">
      <c r="B52" s="78"/>
      <c r="C52" s="78"/>
      <c r="D52" s="78"/>
      <c r="E52" s="78"/>
      <c r="F52" s="78"/>
      <c r="G52" s="78"/>
      <c r="H52" s="78"/>
      <c r="I52" s="78"/>
    </row>
    <row r="53" spans="1:9" ht="15.75" thickBot="1" x14ac:dyDescent="0.25"/>
    <row r="54" spans="1:9" x14ac:dyDescent="0.2">
      <c r="B54" s="55" t="s">
        <v>23</v>
      </c>
      <c r="C54" s="59" t="s">
        <v>28</v>
      </c>
      <c r="D54" s="59" t="s">
        <v>29</v>
      </c>
      <c r="E54" s="59" t="s">
        <v>30</v>
      </c>
      <c r="F54" s="60" t="s">
        <v>31</v>
      </c>
      <c r="G54" s="61" t="s">
        <v>32</v>
      </c>
    </row>
    <row r="55" spans="1:9" x14ac:dyDescent="0.2">
      <c r="B55" s="22" t="s">
        <v>26</v>
      </c>
      <c r="C55" s="7" t="str">
        <f>TRIM(B55)</f>
        <v>Pranav kumar</v>
      </c>
      <c r="D55" s="7" t="str">
        <f>LEFT(B55,7)</f>
        <v xml:space="preserve"> Pranav</v>
      </c>
      <c r="E55" s="7" t="str">
        <f>RIGHT(B55,5)</f>
        <v>kumar</v>
      </c>
      <c r="F55" s="24" t="str">
        <f>MID(B55,6,2)</f>
        <v>av</v>
      </c>
      <c r="G55" s="25" t="str">
        <f>_xlfn.CONCAT(D55," ",E55)</f>
        <v xml:space="preserve"> Pranav kumar</v>
      </c>
    </row>
    <row r="56" spans="1:9" x14ac:dyDescent="0.2">
      <c r="B56" s="22" t="s">
        <v>27</v>
      </c>
      <c r="C56" s="7" t="str">
        <f>TRIM(B56)</f>
        <v>Mohd anas</v>
      </c>
      <c r="D56" s="7" t="str">
        <f>LEFT(B56,7)</f>
        <v xml:space="preserve">Mohd   </v>
      </c>
      <c r="E56" s="7" t="str">
        <f>RIGHT(B56,5)</f>
        <v xml:space="preserve"> anas</v>
      </c>
      <c r="F56" s="24" t="str">
        <f>MID(B56,6,2)</f>
        <v xml:space="preserve">  </v>
      </c>
      <c r="G56" s="25" t="str">
        <f>_xlfn.CONCAT(D56," ",E56)</f>
        <v>Mohd     anas</v>
      </c>
    </row>
    <row r="57" spans="1:9" x14ac:dyDescent="0.2">
      <c r="B57" s="22" t="s">
        <v>25</v>
      </c>
      <c r="C57" s="7" t="str">
        <f>TRIM(B57)</f>
        <v>Priyanshu roy</v>
      </c>
      <c r="D57" s="7" t="str">
        <f>LEFT(B57,7)</f>
        <v>Priyans</v>
      </c>
      <c r="E57" s="7" t="str">
        <f>RIGHT(B57,5)</f>
        <v xml:space="preserve">  roy</v>
      </c>
      <c r="F57" s="24" t="str">
        <f>MID(B57,6,2)</f>
        <v>ns</v>
      </c>
      <c r="G57" s="25" t="str">
        <f>_xlfn.CONCAT(D57," ",E57)</f>
        <v>Priyans   roy</v>
      </c>
    </row>
    <row r="58" spans="1:9" ht="15.75" thickBot="1" x14ac:dyDescent="0.25">
      <c r="B58" s="23" t="s">
        <v>24</v>
      </c>
      <c r="C58" s="7" t="str">
        <f>TRIM(B58)</f>
        <v>Vishal</v>
      </c>
      <c r="D58" s="7" t="str">
        <f>LEFT(B58,7)</f>
        <v>Vishal</v>
      </c>
      <c r="E58" s="7" t="str">
        <f>RIGHT(B58,5)</f>
        <v>ishal</v>
      </c>
      <c r="F58" s="24" t="str">
        <f>MID(B58,6,2)</f>
        <v>l</v>
      </c>
      <c r="G58" s="25" t="str">
        <f>_xlfn.CONCAT(D58," ",E58)</f>
        <v>Vishal ishal</v>
      </c>
    </row>
    <row r="60" spans="1:9" x14ac:dyDescent="0.2">
      <c r="B60" s="82" t="s">
        <v>33</v>
      </c>
      <c r="C60" s="82"/>
      <c r="D60" s="82"/>
    </row>
    <row r="61" spans="1:9" x14ac:dyDescent="0.2">
      <c r="B61" s="83" t="s">
        <v>34</v>
      </c>
      <c r="C61" s="83"/>
      <c r="D61" s="83"/>
      <c r="E61" s="83"/>
      <c r="F61" s="83"/>
      <c r="G61" s="83"/>
    </row>
    <row r="63" spans="1:9" ht="15.75" x14ac:dyDescent="0.2">
      <c r="A63" s="84" t="s">
        <v>35</v>
      </c>
      <c r="B63" s="84"/>
      <c r="C63" s="84"/>
      <c r="D63" s="84"/>
      <c r="E63" s="84"/>
      <c r="F63" s="84"/>
      <c r="G63" s="84"/>
      <c r="H63" s="26"/>
      <c r="I63" s="26"/>
    </row>
    <row r="65" spans="1:9" ht="15.75" x14ac:dyDescent="0.2">
      <c r="A65" s="27" t="s">
        <v>36</v>
      </c>
      <c r="B65" s="78" t="s">
        <v>37</v>
      </c>
      <c r="C65" s="79"/>
      <c r="D65" s="79"/>
      <c r="E65" s="79"/>
      <c r="F65" s="79"/>
      <c r="G65" s="79"/>
      <c r="H65" s="79"/>
      <c r="I65" s="79"/>
    </row>
    <row r="66" spans="1:9" x14ac:dyDescent="0.2">
      <c r="B66" s="79"/>
      <c r="C66" s="79"/>
      <c r="D66" s="79"/>
      <c r="E66" s="79"/>
      <c r="F66" s="79"/>
      <c r="G66" s="79"/>
      <c r="H66" s="79"/>
      <c r="I66" s="79"/>
    </row>
    <row r="68" spans="1:9" x14ac:dyDescent="0.2">
      <c r="B68" s="58" t="s">
        <v>38</v>
      </c>
      <c r="C68" s="28">
        <f ca="1">TODAY()</f>
        <v>46036</v>
      </c>
    </row>
    <row r="70" spans="1:9" ht="15" customHeight="1" x14ac:dyDescent="0.2">
      <c r="A70" s="106" t="s">
        <v>39</v>
      </c>
      <c r="B70" s="105" t="s">
        <v>40</v>
      </c>
      <c r="C70" s="105"/>
      <c r="D70" s="105"/>
      <c r="E70" s="105"/>
      <c r="F70" s="105"/>
      <c r="G70" s="105"/>
      <c r="H70" s="105"/>
      <c r="I70" s="105"/>
    </row>
    <row r="71" spans="1:9" ht="15" customHeight="1" x14ac:dyDescent="0.2">
      <c r="A71" s="106"/>
      <c r="B71" s="105"/>
      <c r="C71" s="105"/>
      <c r="D71" s="105"/>
      <c r="E71" s="105"/>
      <c r="F71" s="105"/>
      <c r="G71" s="105"/>
      <c r="H71" s="105"/>
      <c r="I71" s="105"/>
    </row>
    <row r="72" spans="1:9" ht="15" customHeight="1" x14ac:dyDescent="0.2">
      <c r="A72" s="30"/>
      <c r="B72" s="105"/>
      <c r="C72" s="105"/>
      <c r="D72" s="105"/>
      <c r="E72" s="105"/>
      <c r="F72" s="105"/>
      <c r="G72" s="105"/>
      <c r="H72" s="105"/>
      <c r="I72" s="105"/>
    </row>
    <row r="73" spans="1:9" ht="15" customHeight="1" x14ac:dyDescent="0.2">
      <c r="A73" s="30"/>
      <c r="B73" s="105"/>
      <c r="C73" s="105"/>
      <c r="D73" s="105"/>
      <c r="E73" s="105"/>
      <c r="F73" s="105"/>
      <c r="G73" s="105"/>
      <c r="H73" s="105"/>
      <c r="I73" s="105"/>
    </row>
    <row r="74" spans="1:9" ht="15" customHeight="1" x14ac:dyDescent="0.2">
      <c r="A74" s="30"/>
      <c r="B74" s="105"/>
      <c r="C74" s="105"/>
      <c r="D74" s="105"/>
      <c r="E74" s="105"/>
      <c r="F74" s="105"/>
      <c r="G74" s="105"/>
      <c r="H74" s="105"/>
      <c r="I74" s="105"/>
    </row>
    <row r="75" spans="1:9" ht="15" customHeight="1" x14ac:dyDescent="0.2">
      <c r="A75" s="30"/>
      <c r="B75" s="105"/>
      <c r="C75" s="105"/>
      <c r="D75" s="105"/>
      <c r="E75" s="105"/>
      <c r="F75" s="105"/>
      <c r="G75" s="105"/>
      <c r="H75" s="105"/>
      <c r="I75" s="105"/>
    </row>
    <row r="76" spans="1:9" ht="15" customHeight="1" x14ac:dyDescent="0.2">
      <c r="A76" s="30"/>
      <c r="B76" s="105"/>
      <c r="C76" s="105"/>
      <c r="D76" s="105"/>
      <c r="E76" s="105"/>
      <c r="F76" s="105"/>
      <c r="G76" s="105"/>
      <c r="H76" s="105"/>
      <c r="I76" s="105"/>
    </row>
    <row r="77" spans="1:9" x14ac:dyDescent="0.2">
      <c r="B77" s="105"/>
      <c r="C77" s="105"/>
      <c r="D77" s="105"/>
      <c r="E77" s="105"/>
      <c r="F77" s="105"/>
      <c r="G77" s="105"/>
      <c r="H77" s="105"/>
      <c r="I77" s="105"/>
    </row>
    <row r="78" spans="1:9" x14ac:dyDescent="0.2">
      <c r="B78" s="105"/>
      <c r="C78" s="105"/>
      <c r="D78" s="105"/>
      <c r="E78" s="105"/>
      <c r="F78" s="105"/>
      <c r="G78" s="105"/>
      <c r="H78" s="105"/>
      <c r="I78" s="105"/>
    </row>
    <row r="80" spans="1:9" ht="15.75" x14ac:dyDescent="0.2">
      <c r="B80" s="107" t="s">
        <v>41</v>
      </c>
      <c r="C80" s="107"/>
      <c r="D80" s="107"/>
      <c r="E80" s="107"/>
      <c r="F80" s="107"/>
      <c r="G80" s="107"/>
      <c r="H80" s="107"/>
      <c r="I80" s="107"/>
    </row>
    <row r="81" spans="1:9" ht="15.75" thickBot="1" x14ac:dyDescent="0.25"/>
    <row r="82" spans="1:9" x14ac:dyDescent="0.2">
      <c r="B82" s="55" t="s">
        <v>42</v>
      </c>
      <c r="C82" s="56" t="s">
        <v>43</v>
      </c>
      <c r="D82" s="56" t="s">
        <v>44</v>
      </c>
      <c r="E82" s="56" t="s">
        <v>45</v>
      </c>
      <c r="F82" s="57" t="s">
        <v>65</v>
      </c>
    </row>
    <row r="83" spans="1:9" x14ac:dyDescent="0.2">
      <c r="B83" s="33" t="s">
        <v>47</v>
      </c>
      <c r="C83" s="34" t="s">
        <v>55</v>
      </c>
      <c r="D83" s="34" t="s">
        <v>62</v>
      </c>
      <c r="E83" s="34"/>
      <c r="F83" s="38">
        <v>121</v>
      </c>
    </row>
    <row r="84" spans="1:9" x14ac:dyDescent="0.2">
      <c r="B84" s="33" t="s">
        <v>54</v>
      </c>
      <c r="C84" s="34" t="s">
        <v>61</v>
      </c>
      <c r="D84" s="34" t="s">
        <v>63</v>
      </c>
      <c r="E84" s="34"/>
      <c r="F84" s="38">
        <v>369</v>
      </c>
    </row>
    <row r="85" spans="1:9" x14ac:dyDescent="0.2">
      <c r="B85" s="33" t="s">
        <v>52</v>
      </c>
      <c r="C85" s="34" t="s">
        <v>59</v>
      </c>
      <c r="D85" s="34" t="s">
        <v>64</v>
      </c>
      <c r="E85" s="34"/>
      <c r="F85" s="38">
        <v>348</v>
      </c>
    </row>
    <row r="86" spans="1:9" x14ac:dyDescent="0.2">
      <c r="B86" s="33" t="s">
        <v>53</v>
      </c>
      <c r="C86" s="34" t="s">
        <v>60</v>
      </c>
      <c r="D86" s="34" t="s">
        <v>62</v>
      </c>
      <c r="E86" s="34"/>
      <c r="F86" s="38">
        <v>152</v>
      </c>
    </row>
    <row r="87" spans="1:9" x14ac:dyDescent="0.2">
      <c r="B87" s="33" t="s">
        <v>48</v>
      </c>
      <c r="C87" s="34" t="s">
        <v>56</v>
      </c>
      <c r="D87" s="34" t="s">
        <v>62</v>
      </c>
      <c r="E87" s="34"/>
      <c r="F87" s="38">
        <v>239</v>
      </c>
    </row>
    <row r="88" spans="1:9" x14ac:dyDescent="0.2">
      <c r="B88" s="33" t="s">
        <v>49</v>
      </c>
      <c r="C88" s="34" t="s">
        <v>57</v>
      </c>
      <c r="D88" s="34" t="s">
        <v>62</v>
      </c>
      <c r="E88" s="34"/>
      <c r="F88" s="38">
        <v>500</v>
      </c>
    </row>
    <row r="89" spans="1:9" x14ac:dyDescent="0.2">
      <c r="B89" s="33" t="s">
        <v>51</v>
      </c>
      <c r="C89" s="34" t="s">
        <v>56</v>
      </c>
      <c r="D89" s="34" t="s">
        <v>62</v>
      </c>
      <c r="E89" s="34"/>
      <c r="F89" s="38">
        <v>160</v>
      </c>
    </row>
    <row r="90" spans="1:9" x14ac:dyDescent="0.2">
      <c r="B90" s="33" t="s">
        <v>46</v>
      </c>
      <c r="C90" s="34" t="s">
        <v>55</v>
      </c>
      <c r="D90" s="34" t="s">
        <v>62</v>
      </c>
      <c r="E90" s="34"/>
      <c r="F90" s="38">
        <v>81</v>
      </c>
    </row>
    <row r="91" spans="1:9" ht="15.75" thickBot="1" x14ac:dyDescent="0.25">
      <c r="B91" s="35" t="s">
        <v>50</v>
      </c>
      <c r="C91" s="36" t="s">
        <v>58</v>
      </c>
      <c r="D91" s="36" t="s">
        <v>63</v>
      </c>
      <c r="E91" s="36"/>
      <c r="F91" s="39">
        <v>423</v>
      </c>
    </row>
    <row r="92" spans="1:9" x14ac:dyDescent="0.2">
      <c r="B92" s="31"/>
      <c r="C92" s="31"/>
      <c r="D92" s="31"/>
      <c r="E92" s="31"/>
      <c r="F92" s="31"/>
    </row>
    <row r="93" spans="1:9" ht="15.75" customHeight="1" x14ac:dyDescent="0.2">
      <c r="A93" s="27" t="s">
        <v>68</v>
      </c>
      <c r="B93" s="96" t="s">
        <v>66</v>
      </c>
      <c r="C93" s="96"/>
      <c r="D93" s="96"/>
      <c r="E93" s="96"/>
      <c r="F93" s="96"/>
      <c r="G93" s="96"/>
      <c r="H93" s="96"/>
      <c r="I93" s="96"/>
    </row>
    <row r="94" spans="1:9" x14ac:dyDescent="0.2">
      <c r="B94" s="96"/>
      <c r="C94" s="96"/>
      <c r="D94" s="96"/>
      <c r="E94" s="96"/>
      <c r="F94" s="96"/>
      <c r="G94" s="96"/>
      <c r="H94" s="96"/>
      <c r="I94" s="96"/>
    </row>
    <row r="95" spans="1:9" x14ac:dyDescent="0.2">
      <c r="B95" s="96"/>
      <c r="C95" s="96"/>
      <c r="D95" s="96"/>
      <c r="E95" s="96"/>
      <c r="F95" s="96"/>
      <c r="G95" s="96"/>
      <c r="H95" s="96"/>
      <c r="I95" s="96"/>
    </row>
    <row r="96" spans="1:9" x14ac:dyDescent="0.2">
      <c r="B96" s="96"/>
      <c r="C96" s="96"/>
      <c r="D96" s="96"/>
      <c r="E96" s="96"/>
      <c r="F96" s="96"/>
      <c r="G96" s="96"/>
      <c r="H96" s="96"/>
      <c r="I96" s="96"/>
    </row>
    <row r="97" spans="1:9" x14ac:dyDescent="0.2">
      <c r="B97" s="96"/>
      <c r="C97" s="96"/>
      <c r="D97" s="96"/>
      <c r="E97" s="96"/>
      <c r="F97" s="96"/>
      <c r="G97" s="96"/>
      <c r="H97" s="96"/>
      <c r="I97" s="96"/>
    </row>
    <row r="98" spans="1:9" x14ac:dyDescent="0.2">
      <c r="B98" s="96"/>
      <c r="C98" s="96"/>
      <c r="D98" s="96"/>
      <c r="E98" s="96"/>
      <c r="F98" s="96"/>
      <c r="G98" s="96"/>
      <c r="H98" s="96"/>
      <c r="I98" s="96"/>
    </row>
    <row r="99" spans="1:9" ht="27.75" customHeight="1" x14ac:dyDescent="0.2">
      <c r="A99" s="27" t="s">
        <v>69</v>
      </c>
      <c r="B99" s="97" t="s">
        <v>67</v>
      </c>
      <c r="C99" s="97"/>
      <c r="D99" s="97"/>
      <c r="E99" s="97"/>
      <c r="F99" s="97"/>
    </row>
    <row r="100" spans="1:9" x14ac:dyDescent="0.2">
      <c r="B100" s="97"/>
      <c r="C100" s="97"/>
      <c r="D100" s="97"/>
      <c r="E100" s="97"/>
      <c r="F100" s="97"/>
    </row>
    <row r="101" spans="1:9" ht="12" customHeight="1" x14ac:dyDescent="0.2">
      <c r="B101" s="97"/>
      <c r="C101" s="97"/>
      <c r="D101" s="97"/>
      <c r="E101" s="97"/>
      <c r="F101" s="97"/>
    </row>
    <row r="102" spans="1:9" ht="15.75" customHeight="1" x14ac:dyDescent="0.2">
      <c r="B102" s="97"/>
      <c r="C102" s="97"/>
      <c r="D102" s="97"/>
      <c r="E102" s="97"/>
      <c r="F102" s="97"/>
    </row>
    <row r="103" spans="1:9" x14ac:dyDescent="0.2">
      <c r="B103" s="29"/>
    </row>
    <row r="104" spans="1:9" ht="15.75" customHeight="1" x14ac:dyDescent="0.2">
      <c r="A104" s="40" t="s">
        <v>70</v>
      </c>
      <c r="B104" s="94" t="s">
        <v>71</v>
      </c>
      <c r="C104" s="94"/>
      <c r="D104" s="94"/>
      <c r="E104" s="94"/>
      <c r="F104" s="94"/>
      <c r="G104" s="94"/>
      <c r="H104" s="94"/>
      <c r="I104" s="94"/>
    </row>
    <row r="105" spans="1:9" ht="15" customHeight="1" x14ac:dyDescent="0.2">
      <c r="B105" s="94"/>
      <c r="C105" s="94"/>
      <c r="D105" s="94"/>
      <c r="E105" s="94"/>
      <c r="F105" s="94"/>
      <c r="G105" s="94"/>
      <c r="H105" s="94"/>
      <c r="I105" s="94"/>
    </row>
    <row r="106" spans="1:9" ht="15" customHeight="1" x14ac:dyDescent="0.2">
      <c r="B106" s="94"/>
      <c r="C106" s="94"/>
      <c r="D106" s="94"/>
      <c r="E106" s="94"/>
      <c r="F106" s="94"/>
      <c r="G106" s="94"/>
      <c r="H106" s="94"/>
      <c r="I106" s="94"/>
    </row>
    <row r="107" spans="1:9" ht="15" customHeight="1" thickBot="1" x14ac:dyDescent="0.25">
      <c r="A107" s="41" t="s">
        <v>72</v>
      </c>
      <c r="B107" s="95"/>
      <c r="C107" s="95"/>
      <c r="D107" s="95"/>
      <c r="E107" s="95"/>
      <c r="F107" s="95"/>
      <c r="G107" s="95"/>
      <c r="H107" s="95"/>
      <c r="I107" s="95"/>
    </row>
    <row r="108" spans="1:9" x14ac:dyDescent="0.2">
      <c r="B108" s="64" t="s">
        <v>73</v>
      </c>
      <c r="C108" s="65" t="s">
        <v>74</v>
      </c>
    </row>
    <row r="109" spans="1:9" ht="15.75" thickBot="1" x14ac:dyDescent="0.25">
      <c r="B109" s="32" t="s">
        <v>75</v>
      </c>
      <c r="C109" s="37" t="str">
        <f>LEFT(B109,5)</f>
        <v>Excel</v>
      </c>
    </row>
    <row r="111" spans="1:9" ht="15.75" x14ac:dyDescent="0.2">
      <c r="B111" s="75" t="s">
        <v>76</v>
      </c>
      <c r="C111" s="75"/>
      <c r="D111" s="75"/>
      <c r="E111" s="75"/>
      <c r="F111" s="75"/>
      <c r="G111" s="75"/>
      <c r="H111" s="75"/>
      <c r="I111" s="75"/>
    </row>
    <row r="112" spans="1:9" ht="15.75" thickBot="1" x14ac:dyDescent="0.25"/>
    <row r="113" spans="2:9" x14ac:dyDescent="0.2">
      <c r="B113" s="64" t="s">
        <v>73</v>
      </c>
      <c r="C113" s="65" t="s">
        <v>77</v>
      </c>
    </row>
    <row r="114" spans="2:9" ht="15.75" thickBot="1" x14ac:dyDescent="0.25">
      <c r="B114" s="32" t="s">
        <v>78</v>
      </c>
      <c r="C114" s="37" t="str">
        <f>RIGHT(B114,4)</f>
        <v>xlsx</v>
      </c>
    </row>
    <row r="116" spans="2:9" ht="15.75" x14ac:dyDescent="0.2">
      <c r="B116" s="75" t="s">
        <v>79</v>
      </c>
      <c r="C116" s="75"/>
      <c r="D116" s="75"/>
      <c r="E116" s="75"/>
      <c r="F116" s="75"/>
      <c r="G116" s="75"/>
      <c r="H116" s="75"/>
      <c r="I116" s="75"/>
    </row>
    <row r="117" spans="2:9" ht="15.75" thickBot="1" x14ac:dyDescent="0.25"/>
    <row r="118" spans="2:9" x14ac:dyDescent="0.2">
      <c r="B118" s="64" t="s">
        <v>73</v>
      </c>
      <c r="C118" s="65" t="s">
        <v>80</v>
      </c>
    </row>
    <row r="119" spans="2:9" ht="15.75" thickBot="1" x14ac:dyDescent="0.25">
      <c r="B119" s="32" t="s">
        <v>75</v>
      </c>
      <c r="C119" s="37" t="str">
        <f>MID(B119,6,4)</f>
        <v>Tips</v>
      </c>
    </row>
    <row r="121" spans="2:9" ht="15.75" x14ac:dyDescent="0.2">
      <c r="B121" s="75" t="s">
        <v>81</v>
      </c>
      <c r="C121" s="75"/>
      <c r="D121" s="75"/>
      <c r="E121" s="75"/>
      <c r="F121" s="75"/>
      <c r="G121" s="75"/>
      <c r="H121" s="75"/>
      <c r="I121" s="75"/>
    </row>
    <row r="122" spans="2:9" ht="15.75" thickBot="1" x14ac:dyDescent="0.25"/>
    <row r="123" spans="2:9" x14ac:dyDescent="0.2">
      <c r="B123" s="64" t="s">
        <v>73</v>
      </c>
      <c r="C123" s="65" t="s">
        <v>82</v>
      </c>
    </row>
    <row r="124" spans="2:9" ht="15.75" thickBot="1" x14ac:dyDescent="0.25">
      <c r="B124" s="35" t="s">
        <v>83</v>
      </c>
      <c r="C124" s="37">
        <f>LEN(B124)</f>
        <v>12</v>
      </c>
    </row>
    <row r="126" spans="2:9" ht="15.75" x14ac:dyDescent="0.2">
      <c r="B126" s="75" t="s">
        <v>84</v>
      </c>
      <c r="C126" s="75"/>
      <c r="D126" s="75"/>
      <c r="E126" s="75"/>
      <c r="F126" s="75"/>
      <c r="G126" s="75"/>
      <c r="H126" s="75"/>
      <c r="I126" s="75"/>
    </row>
    <row r="127" spans="2:9" ht="15.75" thickBot="1" x14ac:dyDescent="0.25"/>
    <row r="128" spans="2:9" x14ac:dyDescent="0.2">
      <c r="B128" s="64" t="s">
        <v>73</v>
      </c>
      <c r="C128" s="65" t="s">
        <v>80</v>
      </c>
    </row>
    <row r="129" spans="1:9" ht="15.75" thickBot="1" x14ac:dyDescent="0.25">
      <c r="B129" s="35" t="s">
        <v>85</v>
      </c>
      <c r="C129" s="37" t="str">
        <f>MID(B129,7,6)</f>
        <v>67890-</v>
      </c>
    </row>
    <row r="131" spans="1:9" ht="15.75" x14ac:dyDescent="0.2">
      <c r="A131" s="43" t="s">
        <v>86</v>
      </c>
      <c r="B131" s="75" t="s">
        <v>87</v>
      </c>
      <c r="C131" s="75"/>
      <c r="D131" s="75"/>
      <c r="E131" s="75"/>
      <c r="F131" s="75"/>
      <c r="G131" s="75"/>
      <c r="H131" s="75"/>
      <c r="I131" s="75"/>
    </row>
    <row r="133" spans="1:9" ht="15.75" x14ac:dyDescent="0.2">
      <c r="B133" s="76" t="s">
        <v>88</v>
      </c>
      <c r="C133" s="76"/>
      <c r="D133" s="76"/>
      <c r="E133" s="76"/>
      <c r="F133" s="76"/>
      <c r="G133" s="76"/>
      <c r="H133" s="76"/>
    </row>
    <row r="134" spans="1:9" ht="15.75" thickBot="1" x14ac:dyDescent="0.25"/>
    <row r="135" spans="1:9" x14ac:dyDescent="0.2">
      <c r="B135" s="66" t="s">
        <v>89</v>
      </c>
      <c r="C135" s="67" t="s">
        <v>90</v>
      </c>
      <c r="D135" s="68" t="s">
        <v>91</v>
      </c>
    </row>
    <row r="136" spans="1:9" ht="15.75" thickBot="1" x14ac:dyDescent="0.25">
      <c r="B136" s="8" t="s">
        <v>92</v>
      </c>
      <c r="C136" s="9" t="s">
        <v>93</v>
      </c>
      <c r="D136" s="44" t="str">
        <f>_xlfn.CONCAT(B136," ",C136)</f>
        <v>Hello World</v>
      </c>
    </row>
    <row r="138" spans="1:9" ht="15.75" x14ac:dyDescent="0.2">
      <c r="B138" s="75" t="s">
        <v>94</v>
      </c>
      <c r="C138" s="75"/>
      <c r="D138" s="75"/>
      <c r="E138" s="75"/>
      <c r="F138" s="75"/>
      <c r="G138" s="75"/>
      <c r="H138" s="75"/>
      <c r="I138" s="75"/>
    </row>
    <row r="139" spans="1:9" ht="15.75" thickBot="1" x14ac:dyDescent="0.25"/>
    <row r="140" spans="1:9" ht="15.75" x14ac:dyDescent="0.2">
      <c r="B140" s="69" t="s">
        <v>89</v>
      </c>
      <c r="C140" s="70" t="s">
        <v>90</v>
      </c>
      <c r="D140" s="70" t="s">
        <v>95</v>
      </c>
      <c r="E140" s="71" t="s">
        <v>91</v>
      </c>
    </row>
    <row r="141" spans="1:9" ht="17.25" thickBot="1" x14ac:dyDescent="0.3">
      <c r="B141" s="45" t="s">
        <v>96</v>
      </c>
      <c r="C141" s="46" t="s">
        <v>97</v>
      </c>
      <c r="D141" s="46" t="s">
        <v>98</v>
      </c>
      <c r="E141" s="47" t="str">
        <f>_xlfn.CONCAT(B141," , ",C141," , ",D141)</f>
        <v>Apple , Banana , Cherry</v>
      </c>
    </row>
    <row r="143" spans="1:9" ht="15.75" customHeight="1" x14ac:dyDescent="0.2">
      <c r="B143" s="73" t="s">
        <v>99</v>
      </c>
      <c r="C143" s="73"/>
      <c r="D143" s="73"/>
      <c r="E143" s="73"/>
      <c r="F143" s="73"/>
      <c r="G143" s="73"/>
      <c r="H143" s="73"/>
      <c r="I143" s="73"/>
    </row>
    <row r="144" spans="1:9" x14ac:dyDescent="0.2">
      <c r="B144" s="73"/>
      <c r="C144" s="73"/>
      <c r="D144" s="73"/>
      <c r="E144" s="73"/>
      <c r="F144" s="73"/>
      <c r="G144" s="73"/>
      <c r="H144" s="73"/>
      <c r="I144" s="73"/>
    </row>
    <row r="145" spans="2:9" ht="15.75" thickBot="1" x14ac:dyDescent="0.25"/>
    <row r="146" spans="2:9" x14ac:dyDescent="0.2">
      <c r="B146" s="66" t="s">
        <v>89</v>
      </c>
      <c r="C146" s="67" t="s">
        <v>90</v>
      </c>
      <c r="D146" s="68" t="s">
        <v>91</v>
      </c>
    </row>
    <row r="147" spans="2:9" ht="15.75" thickBot="1" x14ac:dyDescent="0.25">
      <c r="B147" s="8">
        <v>2025</v>
      </c>
      <c r="C147" s="9" t="s">
        <v>100</v>
      </c>
      <c r="D147" s="44" t="str">
        <f>_xlfn.CONCAT(B147," : ",C147)</f>
        <v>2025 : Excel Functions</v>
      </c>
    </row>
    <row r="149" spans="2:9" ht="15.75" x14ac:dyDescent="0.2">
      <c r="B149" s="75" t="s">
        <v>101</v>
      </c>
      <c r="C149" s="75"/>
      <c r="D149" s="75"/>
      <c r="E149" s="75"/>
    </row>
    <row r="150" spans="2:9" ht="15.75" thickBot="1" x14ac:dyDescent="0.25"/>
    <row r="151" spans="2:9" ht="15.75" x14ac:dyDescent="0.2">
      <c r="B151" s="50" t="s">
        <v>102</v>
      </c>
      <c r="C151" s="85" t="str">
        <f>_xlfn.TEXTJOIN(" , ",TRUE(),B152:B156)</f>
        <v>Aryan , Ayan , Vishal , Affan , Nanu</v>
      </c>
    </row>
    <row r="152" spans="2:9" ht="16.5" x14ac:dyDescent="0.2">
      <c r="B152" s="48" t="s">
        <v>103</v>
      </c>
      <c r="C152" s="86"/>
    </row>
    <row r="153" spans="2:9" ht="16.5" x14ac:dyDescent="0.2">
      <c r="B153" s="48" t="s">
        <v>104</v>
      </c>
      <c r="C153" s="86"/>
    </row>
    <row r="154" spans="2:9" ht="16.5" x14ac:dyDescent="0.2">
      <c r="B154" s="48" t="s">
        <v>24</v>
      </c>
      <c r="C154" s="86"/>
    </row>
    <row r="155" spans="2:9" ht="16.5" x14ac:dyDescent="0.2">
      <c r="B155" s="48" t="s">
        <v>105</v>
      </c>
      <c r="C155" s="86"/>
    </row>
    <row r="156" spans="2:9" ht="17.25" thickBot="1" x14ac:dyDescent="0.25">
      <c r="B156" s="49" t="s">
        <v>106</v>
      </c>
      <c r="C156" s="87"/>
    </row>
    <row r="158" spans="2:9" ht="15.75" x14ac:dyDescent="0.2">
      <c r="B158" s="77" t="s">
        <v>107</v>
      </c>
      <c r="C158" s="77"/>
      <c r="D158" s="77"/>
      <c r="E158" s="77"/>
      <c r="F158" s="77"/>
      <c r="G158" s="77"/>
      <c r="H158" s="77"/>
      <c r="I158" s="77"/>
    </row>
    <row r="159" spans="2:9" ht="15.75" thickBot="1" x14ac:dyDescent="0.25"/>
    <row r="160" spans="2:9" x14ac:dyDescent="0.2">
      <c r="B160" s="66" t="s">
        <v>108</v>
      </c>
      <c r="C160" s="67" t="s">
        <v>109</v>
      </c>
      <c r="D160" s="68" t="s">
        <v>110</v>
      </c>
    </row>
    <row r="161" spans="1:9" ht="15.75" thickBot="1" x14ac:dyDescent="0.25">
      <c r="B161" s="8" t="s">
        <v>111</v>
      </c>
      <c r="C161" s="9" t="s">
        <v>112</v>
      </c>
      <c r="D161" s="44" t="str">
        <f>_xlfn.CONCAT(B161," ",C161)</f>
        <v>Mohammad  Anas</v>
      </c>
    </row>
    <row r="163" spans="1:9" ht="15.75" x14ac:dyDescent="0.2">
      <c r="A163" s="43" t="s">
        <v>113</v>
      </c>
      <c r="B163" s="42" t="s">
        <v>114</v>
      </c>
      <c r="C163" s="42"/>
      <c r="D163" s="42"/>
    </row>
    <row r="165" spans="1:9" ht="15.75" customHeight="1" x14ac:dyDescent="0.2">
      <c r="B165" s="73" t="s">
        <v>115</v>
      </c>
      <c r="C165" s="73"/>
      <c r="D165" s="73"/>
      <c r="E165" s="73"/>
      <c r="F165" s="73"/>
      <c r="G165" s="73"/>
      <c r="H165" s="73"/>
      <c r="I165" s="73"/>
    </row>
    <row r="166" spans="1:9" ht="15" customHeight="1" x14ac:dyDescent="0.2">
      <c r="B166" s="73"/>
      <c r="C166" s="73"/>
      <c r="D166" s="73"/>
      <c r="E166" s="73"/>
      <c r="F166" s="73"/>
      <c r="G166" s="73"/>
      <c r="H166" s="73"/>
      <c r="I166" s="73"/>
    </row>
    <row r="167" spans="1:9" ht="15.75" x14ac:dyDescent="0.2">
      <c r="A167" s="21" t="s">
        <v>116</v>
      </c>
      <c r="B167" t="s">
        <v>117</v>
      </c>
    </row>
    <row r="168" spans="1:9" x14ac:dyDescent="0.2">
      <c r="B168" t="s">
        <v>118</v>
      </c>
    </row>
    <row r="169" spans="1:9" ht="15.75" thickBot="1" x14ac:dyDescent="0.25"/>
    <row r="170" spans="1:9" x14ac:dyDescent="0.2">
      <c r="B170" s="66" t="s">
        <v>119</v>
      </c>
      <c r="C170" s="67" t="s">
        <v>120</v>
      </c>
    </row>
    <row r="171" spans="1:9" ht="15.75" thickBot="1" x14ac:dyDescent="0.25">
      <c r="B171" s="52">
        <f ca="1">TODAY()</f>
        <v>46036</v>
      </c>
      <c r="C171" s="51">
        <f ca="1">NOW()</f>
        <v>46036.409850694443</v>
      </c>
    </row>
    <row r="173" spans="1:9" ht="15.75" customHeight="1" x14ac:dyDescent="0.2">
      <c r="B173" s="73" t="s">
        <v>121</v>
      </c>
      <c r="C173" s="73"/>
      <c r="D173" s="73"/>
      <c r="E173" s="73"/>
      <c r="F173" s="73"/>
      <c r="G173" s="73"/>
      <c r="H173" s="73"/>
      <c r="I173" s="73"/>
    </row>
    <row r="174" spans="1:9" x14ac:dyDescent="0.2">
      <c r="B174" s="73"/>
      <c r="C174" s="73"/>
      <c r="D174" s="73"/>
      <c r="E174" s="73"/>
      <c r="F174" s="73"/>
      <c r="G174" s="73"/>
      <c r="H174" s="73"/>
      <c r="I174" s="73"/>
    </row>
    <row r="175" spans="1:9" ht="15.75" thickBot="1" x14ac:dyDescent="0.25">
      <c r="B175" s="29"/>
    </row>
    <row r="176" spans="1:9" x14ac:dyDescent="0.2">
      <c r="B176" s="66" t="s">
        <v>122</v>
      </c>
      <c r="C176" s="67" t="s">
        <v>91</v>
      </c>
    </row>
    <row r="177" spans="2:10" ht="15.75" thickBot="1" x14ac:dyDescent="0.25">
      <c r="B177" s="52">
        <v>45818</v>
      </c>
      <c r="C177" s="53">
        <f ca="1">DATEDIF(B177,B171,"D")</f>
        <v>218</v>
      </c>
    </row>
    <row r="179" spans="2:10" ht="15.75" customHeight="1" x14ac:dyDescent="0.2">
      <c r="B179" s="73" t="s">
        <v>123</v>
      </c>
      <c r="C179" s="73"/>
      <c r="D179" s="73"/>
      <c r="E179" s="73"/>
      <c r="F179" s="73"/>
      <c r="G179" s="73"/>
      <c r="H179" s="73"/>
      <c r="I179" s="73"/>
      <c r="J179" s="73"/>
    </row>
    <row r="180" spans="2:10" ht="15.75" thickBot="1" x14ac:dyDescent="0.25"/>
    <row r="181" spans="2:10" ht="15.75" thickBot="1" x14ac:dyDescent="0.25">
      <c r="B181" s="72" t="s">
        <v>91</v>
      </c>
      <c r="C181" s="54">
        <f ca="1">NOW()</f>
        <v>46036.409850578704</v>
      </c>
    </row>
    <row r="183" spans="2:10" ht="15.75" x14ac:dyDescent="0.2">
      <c r="B183" s="75" t="s">
        <v>125</v>
      </c>
      <c r="C183" s="75"/>
      <c r="D183" s="75"/>
      <c r="E183" s="75"/>
      <c r="F183" s="75"/>
      <c r="G183" s="75"/>
      <c r="H183" s="75"/>
      <c r="I183" s="75"/>
    </row>
    <row r="185" spans="2:10" x14ac:dyDescent="0.2">
      <c r="B185" s="74" t="s">
        <v>124</v>
      </c>
      <c r="C185" s="74"/>
      <c r="D185" s="74"/>
      <c r="E185" s="74"/>
    </row>
    <row r="187" spans="2:10" ht="15.75" customHeight="1" x14ac:dyDescent="0.2">
      <c r="B187" s="73" t="s">
        <v>126</v>
      </c>
      <c r="C187" s="73"/>
      <c r="D187" s="73"/>
      <c r="E187" s="73"/>
      <c r="F187" s="73"/>
      <c r="G187" s="73"/>
      <c r="H187" s="73"/>
    </row>
    <row r="188" spans="2:10" x14ac:dyDescent="0.2">
      <c r="B188" s="73"/>
      <c r="C188" s="73"/>
      <c r="D188" s="73"/>
      <c r="E188" s="73"/>
      <c r="F188" s="73"/>
      <c r="G188" s="73"/>
      <c r="H188" s="73"/>
    </row>
    <row r="190" spans="2:10" x14ac:dyDescent="0.2">
      <c r="B190" s="74" t="s">
        <v>127</v>
      </c>
      <c r="C190" s="74"/>
    </row>
  </sheetData>
  <autoFilter ref="B34:D37" xr:uid="{D16331E8-C909-E040-BFF4-3188C00695F2}">
    <sortState xmlns:xlrd2="http://schemas.microsoft.com/office/spreadsheetml/2017/richdata2" ref="B35:D37">
      <sortCondition ref="B34:B37"/>
    </sortState>
  </autoFilter>
  <sortState xmlns:xlrd2="http://schemas.microsoft.com/office/spreadsheetml/2017/richdata2" ref="B83:F91">
    <sortCondition ref="B83:B91"/>
  </sortState>
  <mergeCells count="41">
    <mergeCell ref="B187:H188"/>
    <mergeCell ref="B190:C190"/>
    <mergeCell ref="E34:F37"/>
    <mergeCell ref="B104:I106"/>
    <mergeCell ref="B107:I107"/>
    <mergeCell ref="B111:I111"/>
    <mergeCell ref="B93:I98"/>
    <mergeCell ref="B99:F102"/>
    <mergeCell ref="E39:F42"/>
    <mergeCell ref="A44:I45"/>
    <mergeCell ref="B47:I52"/>
    <mergeCell ref="B70:I78"/>
    <mergeCell ref="A70:A71"/>
    <mergeCell ref="B80:I80"/>
    <mergeCell ref="B65:I66"/>
    <mergeCell ref="A2:I2"/>
    <mergeCell ref="B4:I6"/>
    <mergeCell ref="A7:I7"/>
    <mergeCell ref="B8:I9"/>
    <mergeCell ref="B27:I33"/>
    <mergeCell ref="A10:I10"/>
    <mergeCell ref="B11:I18"/>
    <mergeCell ref="A19:I20"/>
    <mergeCell ref="B60:D60"/>
    <mergeCell ref="B61:G61"/>
    <mergeCell ref="A63:G63"/>
    <mergeCell ref="B143:I144"/>
    <mergeCell ref="B185:E185"/>
    <mergeCell ref="B116:I116"/>
    <mergeCell ref="B121:I121"/>
    <mergeCell ref="B126:I126"/>
    <mergeCell ref="B179:J179"/>
    <mergeCell ref="B183:I183"/>
    <mergeCell ref="B131:I131"/>
    <mergeCell ref="B133:H133"/>
    <mergeCell ref="B138:I138"/>
    <mergeCell ref="B173:I174"/>
    <mergeCell ref="B158:I158"/>
    <mergeCell ref="B165:I166"/>
    <mergeCell ref="B149:E149"/>
    <mergeCell ref="C151:C156"/>
  </mergeCells>
  <dataValidations count="1">
    <dataValidation type="whole" errorStyle="warning" allowBlank="1" showInputMessage="1" showErrorMessage="1" error="Invalid input! The quantity must be a whole number between 1 and 10." prompt="Please enter a whole number between 1 &amp; 10" sqref="E82:E91" xr:uid="{92E357A2-D31B-48CD-AB38-1F60534DCBF3}">
      <formula1>1</formula1>
      <formula2>10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Anas</dc:creator>
  <dcterms:created xsi:type="dcterms:W3CDTF">2026-01-13T12:11:07Z</dcterms:created>
</cp:coreProperties>
</file>