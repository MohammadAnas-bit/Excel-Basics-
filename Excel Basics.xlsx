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280F4994-7B67-3D4B-9B62-964F7166477A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Q1 - Q3" sheetId="1" r:id="rId1"/>
    <sheet name="Q4 - Q8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H6" i="2"/>
  <c r="H12" i="2"/>
  <c r="H17" i="2"/>
  <c r="H23" i="2"/>
  <c r="H2" i="2"/>
  <c r="H3" i="2"/>
  <c r="H4" i="2"/>
  <c r="H5" i="2"/>
  <c r="H7" i="2"/>
  <c r="H8" i="2"/>
  <c r="H9" i="2"/>
  <c r="H10" i="2"/>
  <c r="H11" i="2"/>
  <c r="H13" i="2"/>
  <c r="H14" i="2"/>
  <c r="H15" i="2"/>
  <c r="H16" i="2"/>
  <c r="H18" i="2"/>
  <c r="H19" i="2"/>
  <c r="H20" i="2"/>
  <c r="H21" i="2"/>
  <c r="H22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C82" i="2"/>
  <c r="C81" i="2"/>
  <c r="C80" i="2"/>
  <c r="C79" i="2"/>
  <c r="C78" i="2"/>
  <c r="F70" i="2"/>
  <c r="E59" i="2"/>
  <c r="E43" i="1"/>
  <c r="F29" i="1"/>
</calcChain>
</file>

<file path=xl/sharedStrings.xml><?xml version="1.0" encoding="utf-8"?>
<sst xmlns="http://schemas.openxmlformats.org/spreadsheetml/2006/main" count="223" uniqueCount="127">
  <si>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</si>
  <si>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</si>
  <si>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</si>
  <si>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</si>
  <si>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</si>
  <si>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</si>
  <si>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</si>
  <si>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</si>
  <si>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</si>
  <si>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</si>
  <si>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</si>
  <si>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</si>
  <si>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</si>
  <si>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</si>
  <si>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</si>
  <si>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</si>
  <si>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</si>
  <si>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</si>
  <si>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</si>
  <si>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</si>
  <si>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</si>
  <si>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</si>
  <si>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</si>
  <si>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</si>
  <si>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</si>
  <si>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</si>
  <si>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</si>
  <si>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</si>
  <si>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</si>
  <si>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</si>
  <si>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</si>
  <si>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</si>
  <si>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</si>
  <si>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</si>
  <si>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</si>
  <si>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</si>
  <si>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</si>
  <si>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</si>
  <si>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</si>
  <si>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</si>
  <si>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</si>
  <si>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</si>
  <si>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</si>
  <si>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</si>
  <si>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</si>
  <si>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</si>
  <si>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</si>
  <si>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</si>
  <si>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</si>
  <si>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</si>
  <si>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</si>
  <si>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</si>
  <si>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</si>
  <si>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</si>
  <si>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</si>
  <si>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</si>
  <si>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</si>
  <si>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</si>
  <si>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</si>
  <si>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</si>
  <si>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</si>
  <si>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</si>
  <si>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</si>
  <si>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</si>
  <si>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</si>
  <si>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</si>
  <si>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</si>
  <si>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</si>
  <si>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</si>
  <si>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</si>
  <si>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</si>
  <si>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</si>
  <si>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</si>
  <si>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</si>
  <si>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</si>
  <si>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</si>
  <si>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</si>
  <si>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</si>
  <si>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</si>
  <si>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</si>
  <si>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</si>
  <si>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</si>
  <si>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</si>
  <si>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</si>
  <si>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</si>
  <si>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</si>
  <si>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</si>
  <si>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</si>
  <si>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</si>
  <si>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</si>
  <si>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</si>
  <si>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</si>
  <si>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Q1) Explain the difference between Relative , Absolute and Mixed Cell Referencing.</t>
  </si>
  <si>
    <t>You have the following data sets</t>
  </si>
  <si>
    <t xml:space="preserve">Veichle </t>
  </si>
  <si>
    <t>Price</t>
  </si>
  <si>
    <t>Car</t>
  </si>
  <si>
    <t xml:space="preserve">Auto-rickshaw </t>
  </si>
  <si>
    <t>Answer1-Relative Cell Referencing:
In relative cell referencing, the cell reference changes automatically when we copy the formula to another cell. It is the default type of reference in Excel.
Example: A1
Absolute Cell Referencing:
In absolute cell referencing, the cell reference remains fixed even if the formula is copied to another cell. It is mainly used when a constant value is required.
Example: $A$1
Mixed Cell Referencing:
In mixed cell referencing, either the row or the column is fixed while the other part changes. It is useful in tables and calculations.
Example: $A1 or A$1</t>
  </si>
  <si>
    <t>Q2) Write a formula to calculate the total sales of Car and Bicyle only.</t>
  </si>
  <si>
    <t>Answer 2- Formula to Calculate the total sales of Car and Bicycle is ( =SUMIF(C6:C8,"Car",D6:D8)+SUMIF(C6:C8,"Bicycle",D6:D8)</t>
  </si>
  <si>
    <t xml:space="preserve">Total Sales of Car and Bicycle </t>
  </si>
  <si>
    <t>Bicycle</t>
  </si>
  <si>
    <t>Q3) Using the data below, write a formula to calculate the average sales of items priced above 100 but less than 300 :</t>
  </si>
  <si>
    <t>Item</t>
  </si>
  <si>
    <t>Prize</t>
  </si>
  <si>
    <t>Sales</t>
  </si>
  <si>
    <t>Item A</t>
  </si>
  <si>
    <t>Item B</t>
  </si>
  <si>
    <t>Item C</t>
  </si>
  <si>
    <t xml:space="preserve">Average Sales of Items Between 100 - 300 </t>
  </si>
  <si>
    <t>Answer 3- This formula calculates the average sales of items whose price is greater than 100 and less than 300 using the AVERAGEIFS function.
 Formula used (=AVERAGEIFS(E35:E37, D35:D37, "&gt;100", D35:D37, "&lt;300")</t>
  </si>
  <si>
    <t>Q4) Count how many customer names are recorded.</t>
  </si>
  <si>
    <t>Answer 4-The COUNT function is used to count how many cells contain numbers in a given range.
Here we need to find How many customer names are recorded so we use (=COUNTA) formula to calculate it.</t>
  </si>
  <si>
    <t xml:space="preserve">TOTAL CUSTOMER NAMES RECORDED </t>
  </si>
  <si>
    <t>Q5) Calculate the Total Sales for each row using a formula.</t>
  </si>
  <si>
    <t>Total Sales</t>
  </si>
  <si>
    <t>Answer 5- To Calculate total sales we need to use the formula (=Quantity*Unit Price)</t>
  </si>
  <si>
    <t>Q6) Calculate the total sales of Notebooks in the North region only.</t>
  </si>
  <si>
    <t>Total Sales of Notebook in North Region</t>
  </si>
  <si>
    <t>Q7) Create a column chart showing total sales by product.</t>
  </si>
  <si>
    <t>Answer 7-To calculate total sales by product we need to find the total sales of each product.By the same formula used above.</t>
  </si>
  <si>
    <t xml:space="preserve">Product </t>
  </si>
  <si>
    <t xml:space="preserve">Total Sales by product </t>
  </si>
  <si>
    <t>Q8) Insert a line chart showing daily sales trend.</t>
  </si>
  <si>
    <t>Answer 8 - To insert line chart for daily sale trend .</t>
  </si>
  <si>
    <t>Answer 6- To calculate total sales of Notebooks in the North region only, we use SUMIFS on the Total Sales column.
Formula (=SUMIFS(Sum range, criteria range,criteria 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</si>
</sst>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009]\ #,##0.00"/>
    <numFmt numFmtId="165" formatCode="[$₹-439]#,##0.00"/>
    <numFmt numFmtId="166" formatCode="[$₹-439]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i/>
      <u/>
      <sz val="11"/>
      <color theme="1"/>
      <name val="Aptos Narrow"/>
      <family val="2"/>
      <scheme val="minor"/>
    </font>
    <font>
      <b/>
      <sz val="12"/>
      <color theme="1"/>
      <name val="Amasis MT Pro Black"/>
      <family val="34"/>
    </font>
    <font>
      <i/>
      <sz val="11"/>
      <color theme="1"/>
      <name val="Aptos Narrow"/>
      <family val="2"/>
      <scheme val="minor"/>
    </font>
    <font>
      <b/>
      <i/>
      <u/>
      <sz val="11"/>
      <color theme="1"/>
      <name val="Amasis MT Pro Black"/>
      <family val="34"/>
    </font>
    <font>
      <b/>
      <sz val="11"/>
      <color theme="1"/>
      <name val="Aptos Narrow"/>
      <family val="2"/>
      <scheme val="minor"/>
    </font>
    <font>
      <b/>
      <i/>
      <u/>
      <sz val="12"/>
      <color theme="1"/>
      <name val="Amasis MT Pro Black"/>
      <family val="34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 wrapText="1"/>
    </xf>
    <xf numFmtId="164" fontId="0" fillId="0" borderId="9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0" xfId="0" applyFont="1" applyAlignment="1">
      <alignment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9" xfId="0" applyBorder="1" applyAlignment="1"/>
    <xf numFmtId="0" fontId="6" fillId="3" borderId="9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14" fontId="1" fillId="0" borderId="15" xfId="0" applyNumberFormat="1" applyFont="1" applyBorder="1" applyAlignment="1">
      <alignment horizontal="center" vertical="center" wrapText="1" readingOrder="1"/>
    </xf>
    <xf numFmtId="0" fontId="1" fillId="0" borderId="15" xfId="0" applyFont="1" applyBorder="1" applyAlignment="1">
      <alignment horizontal="center" vertical="center" wrapText="1" readingOrder="1"/>
    </xf>
    <xf numFmtId="0" fontId="1" fillId="0" borderId="16" xfId="0" applyFont="1" applyBorder="1" applyAlignment="1">
      <alignment horizontal="center" vertical="center" wrapText="1" readingOrder="1"/>
    </xf>
    <xf numFmtId="0" fontId="0" fillId="0" borderId="13" xfId="0" applyFont="1" applyBorder="1" applyAlignment="1">
      <alignment horizontal="center" vertical="center"/>
    </xf>
    <xf numFmtId="165" fontId="0" fillId="0" borderId="13" xfId="0" applyNumberFormat="1" applyFon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9" xfId="0" applyNumberFormat="1" applyBorder="1"/>
    <xf numFmtId="166" fontId="0" fillId="0" borderId="11" xfId="0" applyNumberForma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₹-439]#,##0.00"/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/>
        <top style="thin">
          <color rgb="FF505050"/>
        </top>
        <bottom style="thin">
          <color rgb="FF50505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50505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 u="sng">
                <a:latin typeface="Amasis MT Pro Black" panose="02040504050005020304" pitchFamily="18" charset="0"/>
              </a:rPr>
              <a:t>Total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'Q4 - Q8'!$C$77</c:f>
              <c:strCache>
                <c:ptCount val="1"/>
                <c:pt idx="0">
                  <c:v>Total Sales by product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'Q4 - Q8'!$B$78:$B$82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Eraser</c:v>
                </c:pt>
                <c:pt idx="4">
                  <c:v>Pencil</c:v>
                </c:pt>
              </c:strCache>
            </c:strRef>
          </c:cat>
          <c:val>
            <c:numRef>
              <c:f>'Q4 - Q8'!$C$78:$C$82</c:f>
              <c:numCache>
                <c:formatCode>[$₹-439]#,##0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1928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7-C349-A716-ABD4C65AC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784717759"/>
        <c:axId val="784719551"/>
      </c:barChart>
      <c:catAx>
        <c:axId val="784717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1" u="sng">
                    <a:latin typeface="Amasis MT Pro Black" panose="02040504050005020304" pitchFamily="18" charset="0"/>
                  </a:rPr>
                  <a:t>Product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19551"/>
        <c:crosses val="autoZero"/>
        <c:auto val="1"/>
        <c:lblAlgn val="ctr"/>
        <c:lblOffset val="100"/>
        <c:noMultiLvlLbl val="0"/>
      </c:catAx>
      <c:valAx>
        <c:axId val="78471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1" u="sng">
                    <a:latin typeface="Amasis MT Pro Black" panose="02040504050005020304" pitchFamily="18" charset="0"/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3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1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latin typeface="Amasis MT Pro Black" panose="02040504050005020304" pitchFamily="18" charset="0"/>
              </a:rPr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'Q4 - Q8'!$H$1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'Q4 - Q8'!$G$2:$G$51</c:f>
              <c:strCache>
                <c:ptCount val="50"/>
                <c:pt idx="0">
                  <c:v>5/1/2024</c:v>
                </c:pt>
                <c:pt idx="1">
                  <c:v>6/1/2024</c:v>
                </c:pt>
                <c:pt idx="2">
                  <c:v>7/1/2024</c:v>
                </c:pt>
                <c:pt idx="3">
                  <c:v>8/1/2024</c:v>
                </c:pt>
                <c:pt idx="4">
                  <c:v>10/1/2024</c:v>
                </c:pt>
                <c:pt idx="5">
                  <c:v>11/1/2024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1/2/2024</c:v>
                </c:pt>
                <c:pt idx="20">
                  <c:v>2/2/2024</c:v>
                </c:pt>
                <c:pt idx="21">
                  <c:v>3/2/2024</c:v>
                </c:pt>
                <c:pt idx="22">
                  <c:v>4/2/2024</c:v>
                </c:pt>
                <c:pt idx="23">
                  <c:v>6/2/2024</c:v>
                </c:pt>
                <c:pt idx="24">
                  <c:v>7/2/2024</c:v>
                </c:pt>
                <c:pt idx="25">
                  <c:v>8/2/2024</c:v>
                </c:pt>
                <c:pt idx="26">
                  <c:v>9/2/2024</c:v>
                </c:pt>
                <c:pt idx="27">
                  <c:v>10/2/2024</c:v>
                </c:pt>
                <c:pt idx="28">
                  <c:v>12/2/2024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1/3/2024</c:v>
                </c:pt>
                <c:pt idx="43">
                  <c:v>2/3/2024</c:v>
                </c:pt>
                <c:pt idx="44">
                  <c:v>3/3/2024</c:v>
                </c:pt>
                <c:pt idx="45">
                  <c:v>4/3/2024</c:v>
                </c:pt>
                <c:pt idx="46">
                  <c:v>5/3/2024</c:v>
                </c:pt>
                <c:pt idx="47">
                  <c:v>6/3/2024</c:v>
                </c:pt>
                <c:pt idx="48">
                  <c:v>7/3/2024</c:v>
                </c:pt>
                <c:pt idx="49">
                  <c:v>8/3/2024</c:v>
                </c:pt>
              </c:strCache>
            </c:strRef>
          </c:cat>
          <c:val>
            <c:numRef>
              <c:f>'Q4 - Q8'!$H$2:$H$51</c:f>
              <c:numCache>
                <c:formatCode>[$₹-439]#,##0.00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59-4548-8B3D-AA3AFA713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174748223"/>
        <c:axId val="1174758527"/>
      </c:lineChart>
      <c:catAx>
        <c:axId val="117474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1" u="sng">
                    <a:latin typeface="Amasis MT Pro Black" panose="02040504050005020304" pitchFamily="18" charset="0"/>
                  </a:rPr>
                  <a:t>Order 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58527"/>
        <c:crosses val="autoZero"/>
        <c:auto val="1"/>
        <c:lblAlgn val="ctr"/>
        <c:lblOffset val="100"/>
        <c:noMultiLvlLbl val="0"/>
      </c:catAx>
      <c:valAx>
        <c:axId val="117475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1" u="sng">
                    <a:latin typeface="Amasis MT Pro Black" panose="02040504050005020304" pitchFamily="18" charset="0"/>
                  </a:rPr>
                  <a:t>Daily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3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4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441556</xdr:colOff>
      <xdr:row>83</xdr:row>
      <xdr:rowOff>24539</xdr:rowOff>
    </xdr:from>
    <xdr:to>
      <xdr:col>7</xdr:col>
      <xdr:colOff>462242</xdr:colOff>
      <xdr:row>94</xdr:row>
      <xdr:rowOff>40820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45DCC6-381D-6367-FE25-48930FB4B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479051</xdr:colOff>
      <xdr:row>98</xdr:row>
      <xdr:rowOff>49072</xdr:rowOff>
    </xdr:from>
    <xdr:to>
      <xdr:col>7</xdr:col>
      <xdr:colOff>540276</xdr:colOff>
      <xdr:row>114</xdr:row>
      <xdr:rowOff>76503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4AA0B8-0D4C-762F-E914-FBE610EE5E09}"/>
            </a:ext>
            <a:ext uri="{147F2762-F138-4A5C-976F-8EAC2B608ADB}">
              <a16:predDERef xmlns:a16="http://schemas.microsoft.com/office/drawing/2014/main" pred="{BE45DCC6-381D-6367-FE25-48930FB4B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5AA3C-8416-5742-B5B0-7CD0BF757685}" name="Table1" displayName="Table1" ref="A1:H51" totalsRowShown="0" headerRowDxfId="10" dataDxfId="9" tableBorderDxfId="8">
  <autoFilter ref="A1:H51" xr:uid="{BED5AA3C-8416-5742-B5B0-7CD0BF757685}"/>
  <tableColumns count="8">
    <tableColumn id="1" xr3:uid="{3B9B7CA9-9B7E-794D-9CED-3E5C52FDE718}" name="OrderID" dataDxfId="7"/>
    <tableColumn id="2" xr3:uid="{3CD659E2-722D-CE40-8995-7F36172F3076}" name="CustomerName" dataDxfId="6"/>
    <tableColumn id="3" xr3:uid="{DB37CD7C-826B-534B-8A97-82962B9F3160}" name="Region" dataDxfId="5"/>
    <tableColumn id="4" xr3:uid="{5A5AB86B-1700-5B4C-801B-5376A79EF6A3}" name="Product" dataDxfId="4"/>
    <tableColumn id="5" xr3:uid="{2871AE7E-BB72-8E49-9926-9D1FF1B56270}" name="Quantity" dataDxfId="3"/>
    <tableColumn id="6" xr3:uid="{B98EFF73-346C-CF48-8967-36FEF08A424F}" name="UnitPrice" dataDxfId="2"/>
    <tableColumn id="7" xr3:uid="{9A1F47CE-D05F-5D40-B440-7B11E53ABE48}" name="OrderDate" dataDxfId="1"/>
    <tableColumn id="8" xr3:uid="{42DA45B5-D362-4A4C-A184-ED60F3E4EC94}" name="Total Sales" dataDxfId="0">
      <calculatedColumnFormula>E2*F2</calculatedColumnFormula>
    </tableColumn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AD77-0447-2F48-9E42-2A7DE1DC56A1}">
  <sheetPr>
    <tabColor theme="4" tint="0.79998168889431442"/>
  </sheetPr>
  <dimension ref="A2:G43"/>
  <sheetViews>
    <sheetView topLeftCell="A14" zoomScaleNormal="60" zoomScaleSheetLayoutView="100" workbookViewId="0">
      <selection activeCell="F50" sqref="F50"/>
    </sheetView>
  </sheetViews>
  <sheetFormatPr defaultRowHeight="15" x14ac:dyDescent="0.2"/>
  <cols>
    <col min="2" max="2" width="10.0859375" customWidth="1"/>
    <col min="3" max="3" width="13.5859375" bestFit="1" customWidth="1"/>
    <col min="4" max="4" width="12.5078125" bestFit="1" customWidth="1"/>
    <col min="5" max="5" width="9.01171875" customWidth="1"/>
    <col min="6" max="6" width="11.8359375" bestFit="1" customWidth="1"/>
  </cols>
  <sheetData>
    <row r="2" spans="1:7" ht="15" customHeight="1" x14ac:dyDescent="0.2">
      <c r="A2" s="27" t="s">
        <v>92</v>
      </c>
      <c r="B2" s="28"/>
      <c r="C2" s="28"/>
      <c r="D2" s="28"/>
      <c r="E2" s="28"/>
      <c r="F2" s="28"/>
      <c r="G2" s="29"/>
    </row>
    <row r="3" spans="1:7" ht="21.75" customHeight="1" x14ac:dyDescent="0.2">
      <c r="A3" s="30"/>
      <c r="B3" s="31"/>
      <c r="C3" s="31"/>
      <c r="D3" s="31"/>
      <c r="E3" s="31"/>
      <c r="F3" s="31"/>
      <c r="G3" s="32"/>
    </row>
    <row r="4" spans="1:7" x14ac:dyDescent="0.2">
      <c r="A4" s="42" t="s">
        <v>93</v>
      </c>
      <c r="B4" s="42"/>
      <c r="C4" s="42"/>
      <c r="D4" s="42"/>
      <c r="E4" s="42"/>
      <c r="F4" s="42"/>
      <c r="G4" s="42"/>
    </row>
    <row r="5" spans="1:7" ht="15.75" x14ac:dyDescent="0.2">
      <c r="C5" s="12" t="s">
        <v>94</v>
      </c>
      <c r="D5" s="13" t="s">
        <v>95</v>
      </c>
    </row>
    <row r="6" spans="1:7" x14ac:dyDescent="0.2">
      <c r="C6" s="3" t="s">
        <v>96</v>
      </c>
      <c r="D6" s="2">
        <v>500000</v>
      </c>
    </row>
    <row r="7" spans="1:7" x14ac:dyDescent="0.2">
      <c r="C7" s="3" t="s">
        <v>102</v>
      </c>
      <c r="D7" s="2">
        <v>10500</v>
      </c>
    </row>
    <row r="8" spans="1:7" x14ac:dyDescent="0.2">
      <c r="C8" s="3" t="s">
        <v>97</v>
      </c>
      <c r="D8" s="2">
        <v>25000</v>
      </c>
    </row>
    <row r="10" spans="1:7" ht="15" customHeight="1" x14ac:dyDescent="0.2">
      <c r="A10" s="33" t="s">
        <v>98</v>
      </c>
      <c r="B10" s="34"/>
      <c r="C10" s="34"/>
      <c r="D10" s="34"/>
      <c r="E10" s="34"/>
      <c r="F10" s="34"/>
      <c r="G10" s="35"/>
    </row>
    <row r="11" spans="1:7" x14ac:dyDescent="0.2">
      <c r="A11" s="36"/>
      <c r="B11" s="37"/>
      <c r="C11" s="37"/>
      <c r="D11" s="37"/>
      <c r="E11" s="37"/>
      <c r="F11" s="37"/>
      <c r="G11" s="38"/>
    </row>
    <row r="12" spans="1:7" x14ac:dyDescent="0.2">
      <c r="A12" s="36"/>
      <c r="B12" s="37"/>
      <c r="C12" s="37"/>
      <c r="D12" s="37"/>
      <c r="E12" s="37"/>
      <c r="F12" s="37"/>
      <c r="G12" s="38"/>
    </row>
    <row r="13" spans="1:7" x14ac:dyDescent="0.2">
      <c r="A13" s="36"/>
      <c r="B13" s="37"/>
      <c r="C13" s="37"/>
      <c r="D13" s="37"/>
      <c r="E13" s="37"/>
      <c r="F13" s="37"/>
      <c r="G13" s="38"/>
    </row>
    <row r="14" spans="1:7" x14ac:dyDescent="0.2">
      <c r="A14" s="36"/>
      <c r="B14" s="37"/>
      <c r="C14" s="37"/>
      <c r="D14" s="37"/>
      <c r="E14" s="37"/>
      <c r="F14" s="37"/>
      <c r="G14" s="38"/>
    </row>
    <row r="15" spans="1:7" x14ac:dyDescent="0.2">
      <c r="A15" s="36"/>
      <c r="B15" s="37"/>
      <c r="C15" s="37"/>
      <c r="D15" s="37"/>
      <c r="E15" s="37"/>
      <c r="F15" s="37"/>
      <c r="G15" s="38"/>
    </row>
    <row r="16" spans="1:7" x14ac:dyDescent="0.2">
      <c r="A16" s="36"/>
      <c r="B16" s="37"/>
      <c r="C16" s="37"/>
      <c r="D16" s="37"/>
      <c r="E16" s="37"/>
      <c r="F16" s="37"/>
      <c r="G16" s="38"/>
    </row>
    <row r="17" spans="1:7" x14ac:dyDescent="0.2">
      <c r="A17" s="36"/>
      <c r="B17" s="37"/>
      <c r="C17" s="37"/>
      <c r="D17" s="37"/>
      <c r="E17" s="37"/>
      <c r="F17" s="37"/>
      <c r="G17" s="38"/>
    </row>
    <row r="18" spans="1:7" x14ac:dyDescent="0.2">
      <c r="A18" s="36"/>
      <c r="B18" s="37"/>
      <c r="C18" s="37"/>
      <c r="D18" s="37"/>
      <c r="E18" s="37"/>
      <c r="F18" s="37"/>
      <c r="G18" s="38"/>
    </row>
    <row r="19" spans="1:7" x14ac:dyDescent="0.2">
      <c r="A19" s="36"/>
      <c r="B19" s="37"/>
      <c r="C19" s="37"/>
      <c r="D19" s="37"/>
      <c r="E19" s="37"/>
      <c r="F19" s="37"/>
      <c r="G19" s="38"/>
    </row>
    <row r="20" spans="1:7" x14ac:dyDescent="0.2">
      <c r="A20" s="36"/>
      <c r="B20" s="37"/>
      <c r="C20" s="37"/>
      <c r="D20" s="37"/>
      <c r="E20" s="37"/>
      <c r="F20" s="37"/>
      <c r="G20" s="38"/>
    </row>
    <row r="21" spans="1:7" x14ac:dyDescent="0.2">
      <c r="A21" s="39"/>
      <c r="B21" s="40"/>
      <c r="C21" s="40"/>
      <c r="D21" s="40"/>
      <c r="E21" s="40"/>
      <c r="F21" s="40"/>
      <c r="G21" s="4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51" t="s">
        <v>99</v>
      </c>
      <c r="B23" s="52"/>
      <c r="C23" s="52"/>
      <c r="D23" s="52"/>
      <c r="E23" s="52"/>
      <c r="F23" s="52"/>
      <c r="G23" s="53"/>
    </row>
    <row r="24" spans="1:7" x14ac:dyDescent="0.2">
      <c r="A24" s="54"/>
      <c r="B24" s="55"/>
      <c r="C24" s="55"/>
      <c r="D24" s="55"/>
      <c r="E24" s="55"/>
      <c r="F24" s="55"/>
      <c r="G24" s="56"/>
    </row>
    <row r="25" spans="1:7" x14ac:dyDescent="0.2">
      <c r="A25" s="5"/>
      <c r="B25" s="5"/>
      <c r="C25" s="5"/>
      <c r="D25" s="5"/>
      <c r="E25" s="5"/>
      <c r="F25" s="5"/>
      <c r="G25" s="5"/>
    </row>
    <row r="26" spans="1:7" ht="15" customHeight="1" x14ac:dyDescent="0.2">
      <c r="A26" s="57" t="s">
        <v>100</v>
      </c>
      <c r="B26" s="57"/>
      <c r="C26" s="57"/>
      <c r="D26" s="57"/>
      <c r="E26" s="57"/>
      <c r="F26" s="57"/>
      <c r="G26" s="57"/>
    </row>
    <row r="27" spans="1:7" x14ac:dyDescent="0.2">
      <c r="A27" s="57"/>
      <c r="B27" s="57"/>
      <c r="C27" s="57"/>
      <c r="D27" s="57"/>
      <c r="E27" s="57"/>
      <c r="F27" s="57"/>
      <c r="G27" s="57"/>
    </row>
    <row r="28" spans="1:7" ht="15.75" thickBot="1" x14ac:dyDescent="0.25">
      <c r="A28" s="4"/>
      <c r="B28" s="4"/>
      <c r="C28" s="4"/>
      <c r="D28" s="4"/>
      <c r="E28" s="4"/>
      <c r="F28" s="4"/>
      <c r="G28" s="4"/>
    </row>
    <row r="29" spans="1:7" ht="15.75" thickBot="1" x14ac:dyDescent="0.25">
      <c r="B29" s="58" t="s">
        <v>101</v>
      </c>
      <c r="C29" s="59"/>
      <c r="D29" s="59"/>
      <c r="E29" s="60"/>
      <c r="F29" s="26">
        <f>SUMIF(C6:C8,"Car",D6:D8)+SUMIF(C6:C8,"Bicycle",D6:D8)</f>
        <v>510500</v>
      </c>
    </row>
    <row r="31" spans="1:7" x14ac:dyDescent="0.2">
      <c r="A31" s="45" t="s">
        <v>103</v>
      </c>
      <c r="B31" s="46"/>
      <c r="C31" s="46"/>
      <c r="D31" s="46"/>
      <c r="E31" s="46"/>
      <c r="F31" s="46"/>
      <c r="G31" s="47"/>
    </row>
    <row r="32" spans="1:7" x14ac:dyDescent="0.2">
      <c r="A32" s="48"/>
      <c r="B32" s="49"/>
      <c r="C32" s="49"/>
      <c r="D32" s="49"/>
      <c r="E32" s="49"/>
      <c r="F32" s="49"/>
      <c r="G32" s="50"/>
    </row>
    <row r="33" spans="1:7" x14ac:dyDescent="0.2">
      <c r="A33" s="6"/>
      <c r="B33" s="6"/>
      <c r="C33" s="6"/>
      <c r="D33" s="6"/>
      <c r="E33" s="6"/>
      <c r="F33" s="6"/>
      <c r="G33" s="6"/>
    </row>
    <row r="34" spans="1:7" x14ac:dyDescent="0.2">
      <c r="C34" s="11" t="s">
        <v>104</v>
      </c>
      <c r="D34" s="11" t="s">
        <v>105</v>
      </c>
      <c r="E34" s="11" t="s">
        <v>106</v>
      </c>
    </row>
    <row r="35" spans="1:7" x14ac:dyDescent="0.2">
      <c r="C35" s="7" t="s">
        <v>107</v>
      </c>
      <c r="D35" s="7">
        <v>90</v>
      </c>
      <c r="E35" s="7">
        <v>1000</v>
      </c>
    </row>
    <row r="36" spans="1:7" x14ac:dyDescent="0.2">
      <c r="C36" s="7" t="s">
        <v>108</v>
      </c>
      <c r="D36" s="7">
        <v>150</v>
      </c>
      <c r="E36" s="7">
        <v>1200</v>
      </c>
    </row>
    <row r="37" spans="1:7" x14ac:dyDescent="0.2">
      <c r="C37" s="7" t="s">
        <v>109</v>
      </c>
      <c r="D37" s="7">
        <v>250</v>
      </c>
      <c r="E37" s="7">
        <v>1500</v>
      </c>
    </row>
    <row r="39" spans="1:7" ht="15" customHeight="1" x14ac:dyDescent="0.2">
      <c r="A39" s="43" t="s">
        <v>111</v>
      </c>
      <c r="B39" s="43"/>
      <c r="C39" s="43"/>
      <c r="D39" s="43"/>
      <c r="E39" s="43"/>
      <c r="F39" s="43"/>
      <c r="G39" s="43"/>
    </row>
    <row r="40" spans="1:7" x14ac:dyDescent="0.2">
      <c r="A40" s="43"/>
      <c r="B40" s="43"/>
      <c r="C40" s="43"/>
      <c r="D40" s="43"/>
      <c r="E40" s="43"/>
      <c r="F40" s="43"/>
      <c r="G40" s="43"/>
    </row>
    <row r="41" spans="1:7" x14ac:dyDescent="0.2">
      <c r="A41" s="43"/>
      <c r="B41" s="43"/>
      <c r="C41" s="43"/>
      <c r="D41" s="43"/>
      <c r="E41" s="43"/>
      <c r="F41" s="43"/>
      <c r="G41" s="43"/>
    </row>
    <row r="42" spans="1:7" x14ac:dyDescent="0.2">
      <c r="A42" s="8"/>
      <c r="B42" s="8"/>
      <c r="C42" s="8"/>
      <c r="D42" s="8"/>
      <c r="E42" s="8"/>
      <c r="F42" s="8"/>
      <c r="G42" s="8"/>
    </row>
    <row r="43" spans="1:7" x14ac:dyDescent="0.2">
      <c r="A43" s="9"/>
      <c r="B43" s="44" t="s">
        <v>110</v>
      </c>
      <c r="C43" s="44"/>
      <c r="D43" s="44"/>
      <c r="E43" s="10">
        <f>AVERAGEIFS(E35:E37, D35:D37, "&gt;100", D35:D37, "&lt;300")</f>
        <v>1350</v>
      </c>
    </row>
  </sheetData>
  <mergeCells count="9">
    <mergeCell ref="A2:G3"/>
    <mergeCell ref="A10:G21"/>
    <mergeCell ref="A4:G4"/>
    <mergeCell ref="A39:G41"/>
    <mergeCell ref="B43:D43"/>
    <mergeCell ref="A31:G32"/>
    <mergeCell ref="A23:G24"/>
    <mergeCell ref="A26:G27"/>
    <mergeCell ref="B29:E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CBDD-0EE3-7147-B1E6-100C70489149}">
  <sheetPr>
    <tabColor theme="4" tint="0.79998168889431442"/>
  </sheetPr>
  <dimension ref="A1:J98"/>
  <sheetViews>
    <sheetView tabSelected="1" zoomScaleNormal="60" zoomScaleSheetLayoutView="100" workbookViewId="0">
      <selection activeCell="H121" sqref="H121"/>
    </sheetView>
  </sheetViews>
  <sheetFormatPr defaultRowHeight="15" x14ac:dyDescent="0.2"/>
  <cols>
    <col min="1" max="1" width="10.4921875" bestFit="1" customWidth="1"/>
    <col min="2" max="2" width="17.3515625" bestFit="1" customWidth="1"/>
    <col min="3" max="3" width="21.1171875" bestFit="1" customWidth="1"/>
    <col min="4" max="4" width="10.4921875" bestFit="1" customWidth="1"/>
    <col min="5" max="5" width="11.43359375" bestFit="1" customWidth="1"/>
    <col min="6" max="6" width="11.703125" bestFit="1" customWidth="1"/>
    <col min="7" max="7" width="12.77734375" bestFit="1" customWidth="1"/>
    <col min="8" max="8" width="13.046875" bestFit="1" customWidth="1"/>
  </cols>
  <sheetData>
    <row r="1" spans="1:10" x14ac:dyDescent="0.2">
      <c r="A1" s="21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0" t="s">
        <v>6</v>
      </c>
      <c r="H1" s="22" t="s">
        <v>116</v>
      </c>
    </row>
    <row r="2" spans="1:10" x14ac:dyDescent="0.2">
      <c r="A2" s="21">
        <v>1001</v>
      </c>
      <c r="B2" s="18" t="s">
        <v>7</v>
      </c>
      <c r="C2" s="18" t="s">
        <v>8</v>
      </c>
      <c r="D2" s="18" t="s">
        <v>9</v>
      </c>
      <c r="E2" s="18">
        <v>10</v>
      </c>
      <c r="F2" s="18">
        <v>50</v>
      </c>
      <c r="G2" s="19">
        <v>45413</v>
      </c>
      <c r="H2" s="23">
        <f>E2*F2</f>
        <v>500</v>
      </c>
    </row>
    <row r="3" spans="1:10" x14ac:dyDescent="0.2">
      <c r="A3" s="21">
        <v>1002</v>
      </c>
      <c r="B3" s="18" t="s">
        <v>10</v>
      </c>
      <c r="C3" s="18" t="s">
        <v>11</v>
      </c>
      <c r="D3" s="18" t="s">
        <v>12</v>
      </c>
      <c r="E3" s="18">
        <v>20</v>
      </c>
      <c r="F3" s="18">
        <v>10</v>
      </c>
      <c r="G3" s="19">
        <v>45444</v>
      </c>
      <c r="H3" s="23">
        <f>E3*F3</f>
        <v>200</v>
      </c>
    </row>
    <row r="4" spans="1:10" x14ac:dyDescent="0.2">
      <c r="A4" s="21">
        <v>1003</v>
      </c>
      <c r="B4" s="18" t="s">
        <v>13</v>
      </c>
      <c r="C4" s="18" t="s">
        <v>14</v>
      </c>
      <c r="D4" s="18" t="s">
        <v>15</v>
      </c>
      <c r="E4" s="18">
        <v>15</v>
      </c>
      <c r="F4" s="18">
        <v>25</v>
      </c>
      <c r="G4" s="19">
        <v>45474</v>
      </c>
      <c r="H4" s="23">
        <f t="shared" ref="H4:H51" si="0">E4*F4</f>
        <v>375</v>
      </c>
    </row>
    <row r="5" spans="1:10" x14ac:dyDescent="0.2">
      <c r="A5" s="21">
        <v>1004</v>
      </c>
      <c r="B5" s="18" t="s">
        <v>16</v>
      </c>
      <c r="C5" s="18" t="s">
        <v>17</v>
      </c>
      <c r="D5" s="18" t="s">
        <v>9</v>
      </c>
      <c r="E5" s="18">
        <v>5</v>
      </c>
      <c r="F5" s="18">
        <v>50</v>
      </c>
      <c r="G5" s="19">
        <v>45505</v>
      </c>
      <c r="H5" s="23">
        <f t="shared" si="0"/>
        <v>250</v>
      </c>
    </row>
    <row r="6" spans="1:10" x14ac:dyDescent="0.2">
      <c r="A6" s="21">
        <v>1005</v>
      </c>
      <c r="B6" s="18" t="s">
        <v>18</v>
      </c>
      <c r="C6" s="18" t="s">
        <v>8</v>
      </c>
      <c r="D6" s="18" t="s">
        <v>19</v>
      </c>
      <c r="E6" s="18">
        <v>30</v>
      </c>
      <c r="F6" s="18">
        <v>5</v>
      </c>
      <c r="G6" s="19">
        <v>45566</v>
      </c>
      <c r="H6" s="23">
        <f t="shared" si="0"/>
        <v>150</v>
      </c>
    </row>
    <row r="7" spans="1:10" x14ac:dyDescent="0.2">
      <c r="A7" s="21">
        <v>1006</v>
      </c>
      <c r="B7" s="18" t="s">
        <v>20</v>
      </c>
      <c r="C7" s="18" t="s">
        <v>11</v>
      </c>
      <c r="D7" s="18" t="s">
        <v>9</v>
      </c>
      <c r="E7" s="18">
        <v>12</v>
      </c>
      <c r="F7" s="18">
        <v>50</v>
      </c>
      <c r="G7" s="19">
        <v>45597</v>
      </c>
      <c r="H7" s="23">
        <f t="shared" si="0"/>
        <v>600</v>
      </c>
    </row>
    <row r="8" spans="1:10" x14ac:dyDescent="0.2">
      <c r="A8" s="21">
        <v>1007</v>
      </c>
      <c r="B8" s="18" t="s">
        <v>21</v>
      </c>
      <c r="C8" s="18" t="s">
        <v>14</v>
      </c>
      <c r="D8" s="18" t="s">
        <v>22</v>
      </c>
      <c r="E8" s="18">
        <v>25</v>
      </c>
      <c r="F8" s="18">
        <v>8</v>
      </c>
      <c r="G8" s="20" t="s">
        <v>23</v>
      </c>
      <c r="H8" s="23">
        <f t="shared" si="0"/>
        <v>200</v>
      </c>
    </row>
    <row r="9" spans="1:10" x14ac:dyDescent="0.2">
      <c r="A9" s="21">
        <v>1008</v>
      </c>
      <c r="B9" s="18" t="s">
        <v>24</v>
      </c>
      <c r="C9" s="18" t="s">
        <v>17</v>
      </c>
      <c r="D9" s="18" t="s">
        <v>12</v>
      </c>
      <c r="E9" s="18">
        <v>18</v>
      </c>
      <c r="F9" s="18">
        <v>10</v>
      </c>
      <c r="G9" s="20" t="s">
        <v>25</v>
      </c>
      <c r="H9" s="23">
        <f t="shared" si="0"/>
        <v>180</v>
      </c>
    </row>
    <row r="10" spans="1:10" x14ac:dyDescent="0.2">
      <c r="A10" s="21">
        <v>1009</v>
      </c>
      <c r="B10" s="18" t="s">
        <v>26</v>
      </c>
      <c r="C10" s="18" t="s">
        <v>8</v>
      </c>
      <c r="D10" s="18" t="s">
        <v>15</v>
      </c>
      <c r="E10" s="18">
        <v>22</v>
      </c>
      <c r="F10" s="18">
        <v>25</v>
      </c>
      <c r="G10" s="20" t="s">
        <v>27</v>
      </c>
      <c r="H10" s="23">
        <f t="shared" si="0"/>
        <v>550</v>
      </c>
      <c r="J10">
        <f>SUMIF($G$2:$G$51, J2, $H$2:$H$51)</f>
        <v>0</v>
      </c>
    </row>
    <row r="11" spans="1:10" x14ac:dyDescent="0.2">
      <c r="A11" s="21">
        <v>1010</v>
      </c>
      <c r="B11" s="18" t="s">
        <v>28</v>
      </c>
      <c r="C11" s="18" t="s">
        <v>11</v>
      </c>
      <c r="D11" s="18" t="s">
        <v>9</v>
      </c>
      <c r="E11" s="18">
        <v>8</v>
      </c>
      <c r="F11" s="18">
        <v>50</v>
      </c>
      <c r="G11" s="20" t="s">
        <v>29</v>
      </c>
      <c r="H11" s="23">
        <f t="shared" si="0"/>
        <v>400</v>
      </c>
    </row>
    <row r="12" spans="1:10" x14ac:dyDescent="0.2">
      <c r="A12" s="21">
        <v>1011</v>
      </c>
      <c r="B12" s="18" t="s">
        <v>30</v>
      </c>
      <c r="C12" s="18" t="s">
        <v>14</v>
      </c>
      <c r="D12" s="18" t="s">
        <v>19</v>
      </c>
      <c r="E12" s="18">
        <v>40</v>
      </c>
      <c r="F12" s="18">
        <v>5</v>
      </c>
      <c r="G12" s="20" t="s">
        <v>31</v>
      </c>
      <c r="H12" s="23">
        <f t="shared" si="0"/>
        <v>200</v>
      </c>
    </row>
    <row r="13" spans="1:10" x14ac:dyDescent="0.2">
      <c r="A13" s="21">
        <v>1012</v>
      </c>
      <c r="B13" s="18" t="s">
        <v>32</v>
      </c>
      <c r="C13" s="18" t="s">
        <v>17</v>
      </c>
      <c r="D13" s="18" t="s">
        <v>22</v>
      </c>
      <c r="E13" s="18">
        <v>35</v>
      </c>
      <c r="F13" s="18">
        <v>8</v>
      </c>
      <c r="G13" s="20" t="s">
        <v>33</v>
      </c>
      <c r="H13" s="23">
        <f t="shared" si="0"/>
        <v>280</v>
      </c>
    </row>
    <row r="14" spans="1:10" x14ac:dyDescent="0.2">
      <c r="A14" s="21">
        <v>1013</v>
      </c>
      <c r="B14" s="18" t="s">
        <v>34</v>
      </c>
      <c r="C14" s="18" t="s">
        <v>8</v>
      </c>
      <c r="D14" s="18" t="s">
        <v>9</v>
      </c>
      <c r="E14" s="18">
        <v>14</v>
      </c>
      <c r="F14" s="18">
        <v>50</v>
      </c>
      <c r="G14" s="20" t="s">
        <v>35</v>
      </c>
      <c r="H14" s="23">
        <f t="shared" si="0"/>
        <v>700</v>
      </c>
    </row>
    <row r="15" spans="1:10" x14ac:dyDescent="0.2">
      <c r="A15" s="21">
        <v>1014</v>
      </c>
      <c r="B15" s="18" t="s">
        <v>36</v>
      </c>
      <c r="C15" s="18" t="s">
        <v>11</v>
      </c>
      <c r="D15" s="18" t="s">
        <v>12</v>
      </c>
      <c r="E15" s="18">
        <v>28</v>
      </c>
      <c r="F15" s="18">
        <v>10</v>
      </c>
      <c r="G15" s="20" t="s">
        <v>37</v>
      </c>
      <c r="H15" s="23">
        <f t="shared" si="0"/>
        <v>280</v>
      </c>
    </row>
    <row r="16" spans="1:10" x14ac:dyDescent="0.2">
      <c r="A16" s="21">
        <v>1015</v>
      </c>
      <c r="B16" s="18" t="s">
        <v>38</v>
      </c>
      <c r="C16" s="18" t="s">
        <v>14</v>
      </c>
      <c r="D16" s="18" t="s">
        <v>15</v>
      </c>
      <c r="E16" s="18">
        <v>12</v>
      </c>
      <c r="F16" s="18">
        <v>25</v>
      </c>
      <c r="G16" s="20" t="s">
        <v>39</v>
      </c>
      <c r="H16" s="23">
        <f t="shared" si="0"/>
        <v>300</v>
      </c>
    </row>
    <row r="17" spans="1:8" x14ac:dyDescent="0.2">
      <c r="A17" s="21">
        <v>1016</v>
      </c>
      <c r="B17" s="18" t="s">
        <v>40</v>
      </c>
      <c r="C17" s="18" t="s">
        <v>17</v>
      </c>
      <c r="D17" s="18" t="s">
        <v>19</v>
      </c>
      <c r="E17" s="18">
        <v>25</v>
      </c>
      <c r="F17" s="18">
        <v>5</v>
      </c>
      <c r="G17" s="20" t="s">
        <v>41</v>
      </c>
      <c r="H17" s="23">
        <f t="shared" si="0"/>
        <v>125</v>
      </c>
    </row>
    <row r="18" spans="1:8" x14ac:dyDescent="0.2">
      <c r="A18" s="21">
        <v>1017</v>
      </c>
      <c r="B18" s="18" t="s">
        <v>42</v>
      </c>
      <c r="C18" s="18" t="s">
        <v>8</v>
      </c>
      <c r="D18" s="18" t="s">
        <v>22</v>
      </c>
      <c r="E18" s="18">
        <v>20</v>
      </c>
      <c r="F18" s="18">
        <v>8</v>
      </c>
      <c r="G18" s="20" t="s">
        <v>43</v>
      </c>
      <c r="H18" s="23">
        <f t="shared" si="0"/>
        <v>160</v>
      </c>
    </row>
    <row r="19" spans="1:8" x14ac:dyDescent="0.2">
      <c r="A19" s="21">
        <v>1018</v>
      </c>
      <c r="B19" s="18" t="s">
        <v>44</v>
      </c>
      <c r="C19" s="18" t="s">
        <v>11</v>
      </c>
      <c r="D19" s="18" t="s">
        <v>9</v>
      </c>
      <c r="E19" s="18">
        <v>10</v>
      </c>
      <c r="F19" s="18">
        <v>50</v>
      </c>
      <c r="G19" s="20" t="s">
        <v>45</v>
      </c>
      <c r="H19" s="23">
        <f t="shared" si="0"/>
        <v>500</v>
      </c>
    </row>
    <row r="20" spans="1:8" x14ac:dyDescent="0.2">
      <c r="A20" s="21">
        <v>1019</v>
      </c>
      <c r="B20" s="18" t="s">
        <v>46</v>
      </c>
      <c r="C20" s="18" t="s">
        <v>14</v>
      </c>
      <c r="D20" s="18" t="s">
        <v>12</v>
      </c>
      <c r="E20" s="18">
        <v>15</v>
      </c>
      <c r="F20" s="18">
        <v>10</v>
      </c>
      <c r="G20" s="20" t="s">
        <v>47</v>
      </c>
      <c r="H20" s="23">
        <f t="shared" si="0"/>
        <v>150</v>
      </c>
    </row>
    <row r="21" spans="1:8" x14ac:dyDescent="0.2">
      <c r="A21" s="21">
        <v>1020</v>
      </c>
      <c r="B21" s="18" t="s">
        <v>48</v>
      </c>
      <c r="C21" s="18" t="s">
        <v>17</v>
      </c>
      <c r="D21" s="18" t="s">
        <v>15</v>
      </c>
      <c r="E21" s="18">
        <v>18</v>
      </c>
      <c r="F21" s="18">
        <v>25</v>
      </c>
      <c r="G21" s="19">
        <v>45293</v>
      </c>
      <c r="H21" s="23">
        <f t="shared" si="0"/>
        <v>450</v>
      </c>
    </row>
    <row r="22" spans="1:8" x14ac:dyDescent="0.2">
      <c r="A22" s="21">
        <v>1021</v>
      </c>
      <c r="B22" s="18" t="s">
        <v>49</v>
      </c>
      <c r="C22" s="18" t="s">
        <v>8</v>
      </c>
      <c r="D22" s="18" t="s">
        <v>9</v>
      </c>
      <c r="E22" s="18">
        <v>9</v>
      </c>
      <c r="F22" s="18">
        <v>50</v>
      </c>
      <c r="G22" s="19">
        <v>45324</v>
      </c>
      <c r="H22" s="23">
        <f t="shared" si="0"/>
        <v>450</v>
      </c>
    </row>
    <row r="23" spans="1:8" x14ac:dyDescent="0.2">
      <c r="A23" s="21">
        <v>1022</v>
      </c>
      <c r="B23" s="18" t="s">
        <v>50</v>
      </c>
      <c r="C23" s="18" t="s">
        <v>11</v>
      </c>
      <c r="D23" s="18" t="s">
        <v>19</v>
      </c>
      <c r="E23" s="18">
        <v>35</v>
      </c>
      <c r="F23" s="18">
        <v>5</v>
      </c>
      <c r="G23" s="19">
        <v>45353</v>
      </c>
      <c r="H23" s="23">
        <f t="shared" si="0"/>
        <v>175</v>
      </c>
    </row>
    <row r="24" spans="1:8" x14ac:dyDescent="0.2">
      <c r="A24" s="21">
        <v>1023</v>
      </c>
      <c r="B24" s="18" t="s">
        <v>51</v>
      </c>
      <c r="C24" s="18" t="s">
        <v>14</v>
      </c>
      <c r="D24" s="18" t="s">
        <v>22</v>
      </c>
      <c r="E24" s="18">
        <v>30</v>
      </c>
      <c r="F24" s="18">
        <v>8</v>
      </c>
      <c r="G24" s="19">
        <v>45384</v>
      </c>
      <c r="H24" s="23">
        <f t="shared" si="0"/>
        <v>240</v>
      </c>
    </row>
    <row r="25" spans="1:8" x14ac:dyDescent="0.2">
      <c r="A25" s="21">
        <v>1024</v>
      </c>
      <c r="B25" s="18" t="s">
        <v>52</v>
      </c>
      <c r="C25" s="18" t="s">
        <v>17</v>
      </c>
      <c r="D25" s="18" t="s">
        <v>9</v>
      </c>
      <c r="E25" s="18">
        <v>11</v>
      </c>
      <c r="F25" s="18">
        <v>50</v>
      </c>
      <c r="G25" s="19">
        <v>45445</v>
      </c>
      <c r="H25" s="23">
        <f t="shared" si="0"/>
        <v>550</v>
      </c>
    </row>
    <row r="26" spans="1:8" x14ac:dyDescent="0.2">
      <c r="A26" s="21">
        <v>1025</v>
      </c>
      <c r="B26" s="18" t="s">
        <v>53</v>
      </c>
      <c r="C26" s="18" t="s">
        <v>8</v>
      </c>
      <c r="D26" s="18" t="s">
        <v>12</v>
      </c>
      <c r="E26" s="18">
        <v>14</v>
      </c>
      <c r="F26" s="18">
        <v>10</v>
      </c>
      <c r="G26" s="19">
        <v>45475</v>
      </c>
      <c r="H26" s="23">
        <f t="shared" si="0"/>
        <v>140</v>
      </c>
    </row>
    <row r="27" spans="1:8" x14ac:dyDescent="0.2">
      <c r="A27" s="21">
        <v>1026</v>
      </c>
      <c r="B27" s="18" t="s">
        <v>54</v>
      </c>
      <c r="C27" s="18" t="s">
        <v>11</v>
      </c>
      <c r="D27" s="18" t="s">
        <v>15</v>
      </c>
      <c r="E27" s="18">
        <v>16</v>
      </c>
      <c r="F27" s="18">
        <v>25</v>
      </c>
      <c r="G27" s="19">
        <v>45506</v>
      </c>
      <c r="H27" s="23">
        <f t="shared" si="0"/>
        <v>400</v>
      </c>
    </row>
    <row r="28" spans="1:8" x14ac:dyDescent="0.2">
      <c r="A28" s="21">
        <v>1027</v>
      </c>
      <c r="B28" s="18" t="s">
        <v>55</v>
      </c>
      <c r="C28" s="18" t="s">
        <v>14</v>
      </c>
      <c r="D28" s="18" t="s">
        <v>19</v>
      </c>
      <c r="E28" s="18">
        <v>22</v>
      </c>
      <c r="F28" s="18">
        <v>5</v>
      </c>
      <c r="G28" s="19">
        <v>45537</v>
      </c>
      <c r="H28" s="23">
        <f t="shared" si="0"/>
        <v>110</v>
      </c>
    </row>
    <row r="29" spans="1:8" x14ac:dyDescent="0.2">
      <c r="A29" s="21">
        <v>1028</v>
      </c>
      <c r="B29" s="18" t="s">
        <v>56</v>
      </c>
      <c r="C29" s="18" t="s">
        <v>17</v>
      </c>
      <c r="D29" s="18" t="s">
        <v>22</v>
      </c>
      <c r="E29" s="18">
        <v>27</v>
      </c>
      <c r="F29" s="18">
        <v>8</v>
      </c>
      <c r="G29" s="19">
        <v>45567</v>
      </c>
      <c r="H29" s="23">
        <f t="shared" si="0"/>
        <v>216</v>
      </c>
    </row>
    <row r="30" spans="1:8" x14ac:dyDescent="0.2">
      <c r="A30" s="21">
        <v>1029</v>
      </c>
      <c r="B30" s="18" t="s">
        <v>57</v>
      </c>
      <c r="C30" s="18" t="s">
        <v>8</v>
      </c>
      <c r="D30" s="18" t="s">
        <v>9</v>
      </c>
      <c r="E30" s="18">
        <v>13</v>
      </c>
      <c r="F30" s="18">
        <v>50</v>
      </c>
      <c r="G30" s="19">
        <v>45628</v>
      </c>
      <c r="H30" s="23">
        <f t="shared" si="0"/>
        <v>650</v>
      </c>
    </row>
    <row r="31" spans="1:8" x14ac:dyDescent="0.2">
      <c r="A31" s="21">
        <v>1030</v>
      </c>
      <c r="B31" s="18" t="s">
        <v>58</v>
      </c>
      <c r="C31" s="18" t="s">
        <v>11</v>
      </c>
      <c r="D31" s="18" t="s">
        <v>12</v>
      </c>
      <c r="E31" s="18">
        <v>32</v>
      </c>
      <c r="F31" s="18">
        <v>10</v>
      </c>
      <c r="G31" s="20" t="s">
        <v>59</v>
      </c>
      <c r="H31" s="23">
        <f t="shared" si="0"/>
        <v>320</v>
      </c>
    </row>
    <row r="32" spans="1:8" x14ac:dyDescent="0.2">
      <c r="A32" s="21">
        <v>1031</v>
      </c>
      <c r="B32" s="18" t="s">
        <v>60</v>
      </c>
      <c r="C32" s="18" t="s">
        <v>14</v>
      </c>
      <c r="D32" s="18" t="s">
        <v>15</v>
      </c>
      <c r="E32" s="18">
        <v>10</v>
      </c>
      <c r="F32" s="18">
        <v>25</v>
      </c>
      <c r="G32" s="20" t="s">
        <v>61</v>
      </c>
      <c r="H32" s="23">
        <f t="shared" si="0"/>
        <v>250</v>
      </c>
    </row>
    <row r="33" spans="1:8" x14ac:dyDescent="0.2">
      <c r="A33" s="21">
        <v>1032</v>
      </c>
      <c r="B33" s="18" t="s">
        <v>62</v>
      </c>
      <c r="C33" s="18" t="s">
        <v>17</v>
      </c>
      <c r="D33" s="18" t="s">
        <v>19</v>
      </c>
      <c r="E33" s="18">
        <v>18</v>
      </c>
      <c r="F33" s="18">
        <v>5</v>
      </c>
      <c r="G33" s="20" t="s">
        <v>63</v>
      </c>
      <c r="H33" s="23">
        <f t="shared" si="0"/>
        <v>90</v>
      </c>
    </row>
    <row r="34" spans="1:8" x14ac:dyDescent="0.2">
      <c r="A34" s="21">
        <v>1033</v>
      </c>
      <c r="B34" s="18" t="s">
        <v>64</v>
      </c>
      <c r="C34" s="18" t="s">
        <v>8</v>
      </c>
      <c r="D34" s="18" t="s">
        <v>22</v>
      </c>
      <c r="E34" s="18">
        <v>22</v>
      </c>
      <c r="F34" s="18">
        <v>8</v>
      </c>
      <c r="G34" s="20" t="s">
        <v>65</v>
      </c>
      <c r="H34" s="23">
        <f t="shared" si="0"/>
        <v>176</v>
      </c>
    </row>
    <row r="35" spans="1:8" x14ac:dyDescent="0.2">
      <c r="A35" s="21">
        <v>1034</v>
      </c>
      <c r="B35" s="18" t="s">
        <v>66</v>
      </c>
      <c r="C35" s="18" t="s">
        <v>11</v>
      </c>
      <c r="D35" s="18" t="s">
        <v>9</v>
      </c>
      <c r="E35" s="18">
        <v>17</v>
      </c>
      <c r="F35" s="18">
        <v>50</v>
      </c>
      <c r="G35" s="20" t="s">
        <v>67</v>
      </c>
      <c r="H35" s="23">
        <f t="shared" si="0"/>
        <v>850</v>
      </c>
    </row>
    <row r="36" spans="1:8" x14ac:dyDescent="0.2">
      <c r="A36" s="21">
        <v>1035</v>
      </c>
      <c r="B36" s="18" t="s">
        <v>68</v>
      </c>
      <c r="C36" s="18" t="s">
        <v>14</v>
      </c>
      <c r="D36" s="18" t="s">
        <v>12</v>
      </c>
      <c r="E36" s="18">
        <v>19</v>
      </c>
      <c r="F36" s="18">
        <v>10</v>
      </c>
      <c r="G36" s="20" t="s">
        <v>69</v>
      </c>
      <c r="H36" s="23">
        <f t="shared" si="0"/>
        <v>190</v>
      </c>
    </row>
    <row r="37" spans="1:8" x14ac:dyDescent="0.2">
      <c r="A37" s="21">
        <v>1036</v>
      </c>
      <c r="B37" s="18" t="s">
        <v>70</v>
      </c>
      <c r="C37" s="18" t="s">
        <v>17</v>
      </c>
      <c r="D37" s="18" t="s">
        <v>15</v>
      </c>
      <c r="E37" s="18">
        <v>15</v>
      </c>
      <c r="F37" s="18">
        <v>25</v>
      </c>
      <c r="G37" s="20" t="s">
        <v>71</v>
      </c>
      <c r="H37" s="23">
        <f t="shared" si="0"/>
        <v>375</v>
      </c>
    </row>
    <row r="38" spans="1:8" x14ac:dyDescent="0.2">
      <c r="A38" s="21">
        <v>1037</v>
      </c>
      <c r="B38" s="18" t="s">
        <v>72</v>
      </c>
      <c r="C38" s="18" t="s">
        <v>8</v>
      </c>
      <c r="D38" s="18" t="s">
        <v>19</v>
      </c>
      <c r="E38" s="18">
        <v>28</v>
      </c>
      <c r="F38" s="18">
        <v>5</v>
      </c>
      <c r="G38" s="20" t="s">
        <v>73</v>
      </c>
      <c r="H38" s="23">
        <f t="shared" si="0"/>
        <v>140</v>
      </c>
    </row>
    <row r="39" spans="1:8" x14ac:dyDescent="0.2">
      <c r="A39" s="21">
        <v>1038</v>
      </c>
      <c r="B39" s="18" t="s">
        <v>74</v>
      </c>
      <c r="C39" s="18" t="s">
        <v>11</v>
      </c>
      <c r="D39" s="18" t="s">
        <v>22</v>
      </c>
      <c r="E39" s="18">
        <v>24</v>
      </c>
      <c r="F39" s="18">
        <v>8</v>
      </c>
      <c r="G39" s="20" t="s">
        <v>75</v>
      </c>
      <c r="H39" s="23">
        <f t="shared" si="0"/>
        <v>192</v>
      </c>
    </row>
    <row r="40" spans="1:8" x14ac:dyDescent="0.2">
      <c r="A40" s="21">
        <v>1039</v>
      </c>
      <c r="B40" s="18" t="s">
        <v>76</v>
      </c>
      <c r="C40" s="18" t="s">
        <v>14</v>
      </c>
      <c r="D40" s="18" t="s">
        <v>9</v>
      </c>
      <c r="E40" s="18">
        <v>16</v>
      </c>
      <c r="F40" s="18">
        <v>50</v>
      </c>
      <c r="G40" s="20" t="s">
        <v>77</v>
      </c>
      <c r="H40" s="23">
        <f t="shared" si="0"/>
        <v>800</v>
      </c>
    </row>
    <row r="41" spans="1:8" x14ac:dyDescent="0.2">
      <c r="A41" s="21">
        <v>1040</v>
      </c>
      <c r="B41" s="18" t="s">
        <v>78</v>
      </c>
      <c r="C41" s="18" t="s">
        <v>17</v>
      </c>
      <c r="D41" s="18" t="s">
        <v>12</v>
      </c>
      <c r="E41" s="18">
        <v>27</v>
      </c>
      <c r="F41" s="18">
        <v>10</v>
      </c>
      <c r="G41" s="20" t="s">
        <v>79</v>
      </c>
      <c r="H41" s="23">
        <f t="shared" si="0"/>
        <v>270</v>
      </c>
    </row>
    <row r="42" spans="1:8" x14ac:dyDescent="0.2">
      <c r="A42" s="21">
        <v>1041</v>
      </c>
      <c r="B42" s="18" t="s">
        <v>80</v>
      </c>
      <c r="C42" s="18" t="s">
        <v>8</v>
      </c>
      <c r="D42" s="18" t="s">
        <v>15</v>
      </c>
      <c r="E42" s="18">
        <v>21</v>
      </c>
      <c r="F42" s="18">
        <v>25</v>
      </c>
      <c r="G42" s="20" t="s">
        <v>81</v>
      </c>
      <c r="H42" s="23">
        <f t="shared" si="0"/>
        <v>525</v>
      </c>
    </row>
    <row r="43" spans="1:8" x14ac:dyDescent="0.2">
      <c r="A43" s="21">
        <v>1042</v>
      </c>
      <c r="B43" s="18" t="s">
        <v>82</v>
      </c>
      <c r="C43" s="18" t="s">
        <v>11</v>
      </c>
      <c r="D43" s="18" t="s">
        <v>19</v>
      </c>
      <c r="E43" s="18">
        <v>30</v>
      </c>
      <c r="F43" s="18">
        <v>5</v>
      </c>
      <c r="G43" s="20" t="s">
        <v>83</v>
      </c>
      <c r="H43" s="23">
        <f t="shared" si="0"/>
        <v>150</v>
      </c>
    </row>
    <row r="44" spans="1:8" x14ac:dyDescent="0.2">
      <c r="A44" s="21">
        <v>1043</v>
      </c>
      <c r="B44" s="18" t="s">
        <v>84</v>
      </c>
      <c r="C44" s="18" t="s">
        <v>14</v>
      </c>
      <c r="D44" s="18" t="s">
        <v>22</v>
      </c>
      <c r="E44" s="18">
        <v>26</v>
      </c>
      <c r="F44" s="18">
        <v>8</v>
      </c>
      <c r="G44" s="19">
        <v>45294</v>
      </c>
      <c r="H44" s="23">
        <f t="shared" si="0"/>
        <v>208</v>
      </c>
    </row>
    <row r="45" spans="1:8" x14ac:dyDescent="0.2">
      <c r="A45" s="21">
        <v>1044</v>
      </c>
      <c r="B45" s="18" t="s">
        <v>85</v>
      </c>
      <c r="C45" s="18" t="s">
        <v>17</v>
      </c>
      <c r="D45" s="18" t="s">
        <v>9</v>
      </c>
      <c r="E45" s="18">
        <v>14</v>
      </c>
      <c r="F45" s="18">
        <v>50</v>
      </c>
      <c r="G45" s="19">
        <v>45325</v>
      </c>
      <c r="H45" s="23">
        <f t="shared" si="0"/>
        <v>700</v>
      </c>
    </row>
    <row r="46" spans="1:8" x14ac:dyDescent="0.2">
      <c r="A46" s="21">
        <v>1045</v>
      </c>
      <c r="B46" s="18" t="s">
        <v>86</v>
      </c>
      <c r="C46" s="18" t="s">
        <v>8</v>
      </c>
      <c r="D46" s="18" t="s">
        <v>12</v>
      </c>
      <c r="E46" s="18">
        <v>20</v>
      </c>
      <c r="F46" s="18">
        <v>10</v>
      </c>
      <c r="G46" s="19">
        <v>45354</v>
      </c>
      <c r="H46" s="23">
        <f t="shared" si="0"/>
        <v>200</v>
      </c>
    </row>
    <row r="47" spans="1:8" x14ac:dyDescent="0.2">
      <c r="A47" s="21">
        <v>1046</v>
      </c>
      <c r="B47" s="18" t="s">
        <v>87</v>
      </c>
      <c r="C47" s="18" t="s">
        <v>11</v>
      </c>
      <c r="D47" s="18" t="s">
        <v>15</v>
      </c>
      <c r="E47" s="18">
        <v>17</v>
      </c>
      <c r="F47" s="18">
        <v>25</v>
      </c>
      <c r="G47" s="19">
        <v>45385</v>
      </c>
      <c r="H47" s="23">
        <f t="shared" si="0"/>
        <v>425</v>
      </c>
    </row>
    <row r="48" spans="1:8" x14ac:dyDescent="0.2">
      <c r="A48" s="21">
        <v>1047</v>
      </c>
      <c r="B48" s="18" t="s">
        <v>88</v>
      </c>
      <c r="C48" s="18" t="s">
        <v>14</v>
      </c>
      <c r="D48" s="18" t="s">
        <v>19</v>
      </c>
      <c r="E48" s="18">
        <v>19</v>
      </c>
      <c r="F48" s="18">
        <v>5</v>
      </c>
      <c r="G48" s="19">
        <v>45415</v>
      </c>
      <c r="H48" s="23">
        <f t="shared" si="0"/>
        <v>95</v>
      </c>
    </row>
    <row r="49" spans="1:8" x14ac:dyDescent="0.2">
      <c r="A49" s="21">
        <v>1048</v>
      </c>
      <c r="B49" s="18" t="s">
        <v>89</v>
      </c>
      <c r="C49" s="18" t="s">
        <v>17</v>
      </c>
      <c r="D49" s="18" t="s">
        <v>22</v>
      </c>
      <c r="E49" s="18">
        <v>32</v>
      </c>
      <c r="F49" s="18">
        <v>8</v>
      </c>
      <c r="G49" s="19">
        <v>45446</v>
      </c>
      <c r="H49" s="23">
        <f t="shared" si="0"/>
        <v>256</v>
      </c>
    </row>
    <row r="50" spans="1:8" x14ac:dyDescent="0.2">
      <c r="A50" s="21">
        <v>1049</v>
      </c>
      <c r="B50" s="18" t="s">
        <v>90</v>
      </c>
      <c r="C50" s="18" t="s">
        <v>8</v>
      </c>
      <c r="D50" s="18" t="s">
        <v>9</v>
      </c>
      <c r="E50" s="18">
        <v>12</v>
      </c>
      <c r="F50" s="18">
        <v>50</v>
      </c>
      <c r="G50" s="19">
        <v>45476</v>
      </c>
      <c r="H50" s="23">
        <f t="shared" si="0"/>
        <v>600</v>
      </c>
    </row>
    <row r="51" spans="1:8" x14ac:dyDescent="0.2">
      <c r="A51" s="21">
        <v>1050</v>
      </c>
      <c r="B51" s="18" t="s">
        <v>91</v>
      </c>
      <c r="C51" s="18" t="s">
        <v>11</v>
      </c>
      <c r="D51" s="18" t="s">
        <v>12</v>
      </c>
      <c r="E51" s="18">
        <v>25</v>
      </c>
      <c r="F51" s="18">
        <v>10</v>
      </c>
      <c r="G51" s="19">
        <v>45507</v>
      </c>
      <c r="H51" s="23">
        <f t="shared" si="0"/>
        <v>250</v>
      </c>
    </row>
    <row r="53" spans="1:8" ht="15.75" x14ac:dyDescent="0.2">
      <c r="A53" s="61" t="s">
        <v>112</v>
      </c>
      <c r="B53" s="61"/>
      <c r="C53" s="61"/>
      <c r="D53" s="61"/>
      <c r="E53" s="61"/>
      <c r="F53" s="61"/>
      <c r="G53" s="61"/>
    </row>
    <row r="54" spans="1:8" x14ac:dyDescent="0.2">
      <c r="A54" s="14"/>
      <c r="B54" s="14"/>
      <c r="C54" s="14"/>
      <c r="D54" s="14"/>
      <c r="E54" s="14"/>
      <c r="F54" s="14"/>
      <c r="G54" s="14"/>
    </row>
    <row r="55" spans="1:8" ht="15" customHeight="1" x14ac:dyDescent="0.2">
      <c r="A55" s="43" t="s">
        <v>113</v>
      </c>
      <c r="B55" s="43"/>
      <c r="C55" s="43"/>
      <c r="D55" s="43"/>
      <c r="E55" s="43"/>
      <c r="F55" s="43"/>
      <c r="G55" s="43"/>
    </row>
    <row r="56" spans="1:8" x14ac:dyDescent="0.2">
      <c r="A56" s="43"/>
      <c r="B56" s="43"/>
      <c r="C56" s="43"/>
      <c r="D56" s="43"/>
      <c r="E56" s="43"/>
      <c r="F56" s="43"/>
      <c r="G56" s="43"/>
    </row>
    <row r="57" spans="1:8" x14ac:dyDescent="0.2">
      <c r="A57" s="43"/>
      <c r="B57" s="43"/>
      <c r="C57" s="43"/>
      <c r="D57" s="43"/>
      <c r="E57" s="43"/>
      <c r="F57" s="43"/>
      <c r="G57" s="43"/>
    </row>
    <row r="58" spans="1:8" x14ac:dyDescent="0.2">
      <c r="A58" s="43"/>
      <c r="B58" s="43"/>
      <c r="C58" s="43"/>
      <c r="D58" s="43"/>
      <c r="E58" s="43"/>
      <c r="F58" s="43"/>
      <c r="G58" s="43"/>
    </row>
    <row r="59" spans="1:8" x14ac:dyDescent="0.2">
      <c r="B59" s="63" t="s">
        <v>114</v>
      </c>
      <c r="C59" s="63"/>
      <c r="D59" s="63"/>
      <c r="E59" s="7">
        <f>COUNTA(B2:B51)</f>
        <v>50</v>
      </c>
    </row>
    <row r="61" spans="1:8" ht="15.75" x14ac:dyDescent="0.2">
      <c r="A61" s="61" t="s">
        <v>115</v>
      </c>
      <c r="B61" s="61"/>
      <c r="C61" s="61"/>
      <c r="D61" s="61"/>
      <c r="E61" s="61"/>
      <c r="F61" s="61"/>
      <c r="G61" s="61"/>
    </row>
    <row r="62" spans="1:8" x14ac:dyDescent="0.2">
      <c r="A62" s="9"/>
      <c r="B62" s="9"/>
      <c r="C62" s="9"/>
      <c r="D62" s="9"/>
      <c r="E62" s="9"/>
      <c r="F62" s="9"/>
      <c r="G62" s="9"/>
    </row>
    <row r="63" spans="1:8" x14ac:dyDescent="0.2">
      <c r="A63" s="65" t="s">
        <v>117</v>
      </c>
      <c r="B63" s="65"/>
      <c r="C63" s="65"/>
      <c r="D63" s="65"/>
      <c r="E63" s="65"/>
      <c r="F63" s="65"/>
      <c r="G63" s="65"/>
    </row>
    <row r="65" spans="1:8" ht="15.75" x14ac:dyDescent="0.2">
      <c r="A65" s="61" t="s">
        <v>118</v>
      </c>
      <c r="B65" s="61"/>
      <c r="C65" s="61"/>
      <c r="D65" s="61"/>
      <c r="E65" s="61"/>
      <c r="F65" s="61"/>
      <c r="G65" s="61"/>
      <c r="H65" s="15"/>
    </row>
    <row r="67" spans="1:8" x14ac:dyDescent="0.2">
      <c r="A67" s="64" t="s">
        <v>126</v>
      </c>
      <c r="B67" s="64"/>
      <c r="C67" s="64"/>
      <c r="D67" s="64"/>
      <c r="E67" s="64"/>
      <c r="F67" s="64"/>
      <c r="G67" s="64"/>
    </row>
    <row r="68" spans="1:8" x14ac:dyDescent="0.2">
      <c r="A68" s="64"/>
      <c r="B68" s="64"/>
      <c r="C68" s="64"/>
      <c r="D68" s="64"/>
      <c r="E68" s="64"/>
      <c r="F68" s="64"/>
      <c r="G68" s="64"/>
    </row>
    <row r="70" spans="1:8" x14ac:dyDescent="0.2">
      <c r="B70" s="63" t="s">
        <v>119</v>
      </c>
      <c r="C70" s="63"/>
      <c r="D70" s="63"/>
      <c r="E70" s="63"/>
      <c r="F70" s="25">
        <f>SUMIFS(H2:H51,D2:D51,"Notebook",C2:C51,"North")</f>
        <v>2900</v>
      </c>
    </row>
    <row r="72" spans="1:8" ht="15.75" x14ac:dyDescent="0.2">
      <c r="A72" s="61" t="s">
        <v>120</v>
      </c>
      <c r="B72" s="61"/>
      <c r="C72" s="61"/>
      <c r="D72" s="61"/>
      <c r="E72" s="61"/>
      <c r="F72" s="61"/>
      <c r="G72" s="61"/>
    </row>
    <row r="74" spans="1:8" x14ac:dyDescent="0.2">
      <c r="A74" s="64" t="s">
        <v>121</v>
      </c>
      <c r="B74" s="64"/>
      <c r="C74" s="64"/>
      <c r="D74" s="64"/>
      <c r="E74" s="64"/>
      <c r="F74" s="64"/>
      <c r="G74" s="64"/>
    </row>
    <row r="75" spans="1:8" x14ac:dyDescent="0.2">
      <c r="A75" s="64"/>
      <c r="B75" s="64"/>
      <c r="C75" s="64"/>
      <c r="D75" s="64"/>
      <c r="E75" s="64"/>
      <c r="F75" s="64"/>
      <c r="G75" s="64"/>
    </row>
    <row r="76" spans="1:8" x14ac:dyDescent="0.2">
      <c r="A76" s="1"/>
      <c r="B76" s="1"/>
      <c r="C76" s="1"/>
      <c r="D76" s="1"/>
      <c r="E76" s="1"/>
      <c r="F76" s="1"/>
      <c r="G76" s="1"/>
    </row>
    <row r="77" spans="1:8" x14ac:dyDescent="0.2">
      <c r="A77" s="1"/>
      <c r="B77" s="16" t="s">
        <v>122</v>
      </c>
      <c r="C77" s="16" t="s">
        <v>123</v>
      </c>
      <c r="D77" s="1"/>
      <c r="E77" s="1"/>
      <c r="F77" s="1"/>
      <c r="G77" s="1"/>
    </row>
    <row r="78" spans="1:8" x14ac:dyDescent="0.2">
      <c r="B78" s="7" t="s">
        <v>9</v>
      </c>
      <c r="C78" s="24">
        <f>SUMIFS($H$2:$H$51,$D$2:$D$51,"Notebook")</f>
        <v>7550</v>
      </c>
    </row>
    <row r="79" spans="1:8" x14ac:dyDescent="0.2">
      <c r="B79" s="7" t="s">
        <v>12</v>
      </c>
      <c r="C79" s="24">
        <f>SUMIFS(H2:H51,D2:D51,"Pen")</f>
        <v>2180</v>
      </c>
    </row>
    <row r="80" spans="1:8" x14ac:dyDescent="0.2">
      <c r="B80" s="7" t="s">
        <v>15</v>
      </c>
      <c r="C80" s="24">
        <f>SUMIFS(H2:H51,D2:D51,"Marker")</f>
        <v>3650</v>
      </c>
    </row>
    <row r="81" spans="1:7" x14ac:dyDescent="0.2">
      <c r="B81" s="7" t="s">
        <v>22</v>
      </c>
      <c r="C81" s="24">
        <f>SUMIFS(H2:H51,D2:D51,"Eraser")</f>
        <v>1928</v>
      </c>
    </row>
    <row r="82" spans="1:7" x14ac:dyDescent="0.2">
      <c r="B82" s="7" t="s">
        <v>19</v>
      </c>
      <c r="C82" s="24">
        <f>SUMIFS(H2:H51,D2:D51,"Pencil")</f>
        <v>1235</v>
      </c>
    </row>
    <row r="96" spans="1:7" ht="15.75" x14ac:dyDescent="0.2">
      <c r="A96" s="61" t="s">
        <v>124</v>
      </c>
      <c r="B96" s="61"/>
      <c r="C96" s="61"/>
      <c r="D96" s="61"/>
      <c r="E96" s="61"/>
      <c r="F96" s="61"/>
      <c r="G96" s="61"/>
    </row>
    <row r="97" spans="1:7" x14ac:dyDescent="0.2">
      <c r="A97" s="17"/>
      <c r="B97" s="17"/>
      <c r="C97" s="17"/>
      <c r="D97" s="17"/>
      <c r="E97" s="17"/>
      <c r="F97" s="17"/>
      <c r="G97" s="17"/>
    </row>
    <row r="98" spans="1:7" x14ac:dyDescent="0.2">
      <c r="A98" s="62" t="s">
        <v>125</v>
      </c>
      <c r="B98" s="62"/>
      <c r="C98" s="62"/>
      <c r="D98" s="62"/>
      <c r="E98" s="62"/>
      <c r="F98" s="62"/>
      <c r="G98" s="62"/>
    </row>
  </sheetData>
  <mergeCells count="12">
    <mergeCell ref="A96:G96"/>
    <mergeCell ref="A98:G98"/>
    <mergeCell ref="B59:D59"/>
    <mergeCell ref="A53:G53"/>
    <mergeCell ref="A55:G58"/>
    <mergeCell ref="A61:G61"/>
    <mergeCell ref="A74:G75"/>
    <mergeCell ref="A72:G72"/>
    <mergeCell ref="A63:G63"/>
    <mergeCell ref="A65:G65"/>
    <mergeCell ref="A67:G68"/>
    <mergeCell ref="B70:E7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Q1 - Q3</vt:lpstr>
      <vt:lpstr>Q4 - 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Anas</dc:creator>
  <dcterms:created xsi:type="dcterms:W3CDTF">2026-01-09T22:49:15Z</dcterms:created>
</cp:coreProperties>
</file>