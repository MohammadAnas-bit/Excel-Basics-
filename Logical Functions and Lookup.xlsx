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202300"/>
  <xr:revisionPtr revIDLastSave="0" documentId="13_ncr:1000001_{85B5D2BF-AA18-BE44-B113-81B4FE0EA38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4" i="1" l="1"/>
  <c r="C95" i="1"/>
  <c r="E72" i="1"/>
  <c r="E73" i="1"/>
  <c r="E71" i="1"/>
  <c r="C57" i="1"/>
  <c r="C40" i="1"/>
  <c r="D26" i="1" a="1"/>
  <c r="D26" i="1"/>
  <c r="D27" i="1" a="1"/>
  <c r="D27" i="1"/>
  <c r="D28" i="1" a="1"/>
  <c r="D28" i="1"/>
  <c r="D29" i="1" a="1"/>
  <c r="D29" i="1"/>
  <c r="D25" i="1" a="1"/>
  <c r="D25" i="1"/>
  <c r="E16" i="1"/>
  <c r="E18" i="1"/>
  <c r="E19" i="1"/>
  <c r="E17" i="1"/>
  <c r="D7" i="1"/>
  <c r="D8" i="1"/>
  <c r="D9" i="1"/>
  <c r="D10" i="1"/>
  <c r="D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<sst xmlns="http://schemas.openxmlformats.org/spreadsheetml/2006/main" count="108" uniqueCount="72">
  <si>
    <t>Write a formula to check if the marks in cell are greater than or equal to 40. If yes, return "Pass" , otherwise "Fail"</t>
  </si>
  <si>
    <t xml:space="preserve">Q1) </t>
  </si>
  <si>
    <t>Student Name</t>
  </si>
  <si>
    <t>Marks</t>
  </si>
  <si>
    <t>Riya</t>
  </si>
  <si>
    <t>Siya</t>
  </si>
  <si>
    <t>Raju</t>
  </si>
  <si>
    <t>Rahul</t>
  </si>
  <si>
    <t>Ram</t>
  </si>
  <si>
    <t xml:space="preserve">Result </t>
  </si>
  <si>
    <t xml:space="preserve">Q2) </t>
  </si>
  <si>
    <t>A company gives a bonus  if sales are above 40,000 and attendance is greater than or equal to 90%. Write a formula to calculate whether the employee will get a bonus or not .</t>
  </si>
  <si>
    <t xml:space="preserve">Employee </t>
  </si>
  <si>
    <t>Sales</t>
  </si>
  <si>
    <t xml:space="preserve">Attendance </t>
  </si>
  <si>
    <t>Arjun</t>
  </si>
  <si>
    <t>Simran</t>
  </si>
  <si>
    <t>Rohit</t>
  </si>
  <si>
    <t>Anjali</t>
  </si>
  <si>
    <t>Bonus or Not</t>
  </si>
  <si>
    <t xml:space="preserve">Q3) </t>
  </si>
  <si>
    <t>Write a nested IF formula: </t>
  </si>
  <si>
    <t>If marks in B2 are ≥ 90 →"A" , ≥ 75 → "B", ≥ 50 → "C", otherwise .  "Fail</t>
  </si>
  <si>
    <t xml:space="preserve">Student Name </t>
  </si>
  <si>
    <t xml:space="preserve">Marks </t>
  </si>
  <si>
    <t>Raj</t>
  </si>
  <si>
    <t>Neha</t>
  </si>
  <si>
    <t>Vivek</t>
  </si>
  <si>
    <t>Rani</t>
  </si>
  <si>
    <t>Sneha</t>
  </si>
  <si>
    <t xml:space="preserve">Q4) </t>
  </si>
  <si>
    <t>Find the Department of Employee ID = E103. Also explain which LOOKUP function is used and why?</t>
  </si>
  <si>
    <t>EmpId</t>
  </si>
  <si>
    <t>Name</t>
  </si>
  <si>
    <t xml:space="preserve">Department </t>
  </si>
  <si>
    <t>E101</t>
  </si>
  <si>
    <t>E102</t>
  </si>
  <si>
    <t>E103</t>
  </si>
  <si>
    <t>E104</t>
  </si>
  <si>
    <t>Roshni</t>
  </si>
  <si>
    <t>Sejal</t>
  </si>
  <si>
    <t>IT</t>
  </si>
  <si>
    <t>HR</t>
  </si>
  <si>
    <t xml:space="preserve">Finance </t>
  </si>
  <si>
    <t>Answer)</t>
  </si>
  <si>
    <t>VLOOKUP is used to find a value vertically in the table .It finds the 1st value from top to bottom.
Formula (=VlookUp(lookup value ,table array ,row index number,range look up)</t>
  </si>
  <si>
    <t xml:space="preserve">Q5) </t>
  </si>
  <si>
    <t>A company has set the following commission structure for its sales team:</t>
  </si>
  <si>
    <t xml:space="preserve">Sales Amount </t>
  </si>
  <si>
    <t xml:space="preserve">Commission Rate </t>
  </si>
  <si>
    <t>If a salesperson achieves sales of ₹45,000, use the VLOOKUP function to determine the commission rate applicable.</t>
  </si>
  <si>
    <t xml:space="preserve">Q6) </t>
  </si>
  <si>
    <t>The HR department maintains the following leave records of employees:onus or not .</t>
  </si>
  <si>
    <t xml:space="preserve">Employee Name </t>
  </si>
  <si>
    <t>Leave Taken</t>
  </si>
  <si>
    <t xml:space="preserve">Leave Allowed </t>
  </si>
  <si>
    <t>Alex</t>
  </si>
  <si>
    <t>Bob</t>
  </si>
  <si>
    <t>Anna</t>
  </si>
  <si>
    <t>Write an IF function to check whether an employee has Exceeded their allowed leave balance.</t>
  </si>
  <si>
    <t>° If Leaves Taken &gt; Allowed Leaves, display "Exceeded".</t>
  </si>
  <si>
    <t>° Otherwise, display "OK"._x000B_</t>
  </si>
  <si>
    <t>Leave Record</t>
  </si>
  <si>
    <t>Find the salary of EmpID = E105 using INDEX-MATCH Function.</t>
  </si>
  <si>
    <t xml:space="preserve">Q7) </t>
  </si>
  <si>
    <t xml:space="preserve">Salary </t>
  </si>
  <si>
    <t>E105</t>
  </si>
  <si>
    <t>E106</t>
  </si>
  <si>
    <t>E301</t>
  </si>
  <si>
    <t>E303</t>
  </si>
  <si>
    <t xml:space="preserve">Q8) </t>
  </si>
  <si>
    <t>Use the XLOOKUP function to find the Department of the employee with Emp ID = E303.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</si>
</sst>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39]#,##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masis MT Pro Black"/>
      <family val="34"/>
    </font>
    <font>
      <b/>
      <i/>
      <sz val="11"/>
      <color theme="1"/>
      <name val="Amasis MT Pro Black"/>
      <family val="34"/>
    </font>
    <font>
      <b/>
      <sz val="11"/>
      <color theme="1"/>
      <name val="Amasis MT Pro Medium"/>
      <family val="34"/>
    </font>
    <font>
      <b/>
      <i/>
      <u/>
      <sz val="11"/>
      <color theme="1"/>
      <name val="Amasis MT Pro Black"/>
      <family val="34"/>
    </font>
    <font>
      <b/>
      <i/>
      <sz val="11"/>
      <color theme="1"/>
      <name val="Amasis MT Pro Medium"/>
      <family val="34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medium">
        <color rgb="FF505050"/>
      </bottom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/>
      <diagonal/>
    </border>
    <border>
      <left style="thin">
        <color rgb="FF505050"/>
      </left>
      <right style="thin">
        <color rgb="FF505050"/>
      </right>
      <top style="medium">
        <color rgb="FF505050"/>
      </top>
      <bottom/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0" xfId="0" applyFont="1" applyAlignment="1">
      <alignment vertical="top"/>
    </xf>
    <xf numFmtId="9" fontId="0" fillId="0" borderId="1" xfId="0" applyNumberFormat="1" applyBorder="1" applyAlignment="1">
      <alignment horizontal="center" vertical="center"/>
    </xf>
    <xf numFmtId="9" fontId="0" fillId="0" borderId="8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0" xfId="0" applyFont="1" applyAlignment="1">
      <alignment horizontal="right"/>
    </xf>
    <xf numFmtId="0" fontId="2" fillId="0" borderId="0" xfId="0" applyFont="1" applyAlignment="1">
      <alignment wrapText="1"/>
    </xf>
    <xf numFmtId="9" fontId="0" fillId="0" borderId="6" xfId="0" applyNumberFormat="1" applyBorder="1" applyAlignment="1">
      <alignment horizontal="center"/>
    </xf>
    <xf numFmtId="9" fontId="0" fillId="0" borderId="9" xfId="0" applyNumberForma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/>
    <xf numFmtId="0" fontId="3" fillId="3" borderId="10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6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9" fontId="0" fillId="5" borderId="9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34EE0-0495-864A-9C49-14208BF6ED32}">
  <dimension ref="A2:I95"/>
  <sheetViews>
    <sheetView tabSelected="1" zoomScaleNormal="60" zoomScaleSheetLayoutView="100" workbookViewId="0">
      <selection activeCell="E101" sqref="E101"/>
    </sheetView>
  </sheetViews>
  <sheetFormatPr defaultRowHeight="15" x14ac:dyDescent="0.2"/>
  <cols>
    <col min="2" max="2" width="18.0234375" customWidth="1"/>
    <col min="3" max="3" width="18.83203125" bestFit="1" customWidth="1"/>
    <col min="4" max="4" width="16.0078125" bestFit="1" customWidth="1"/>
    <col min="5" max="5" width="13.71875" bestFit="1" customWidth="1"/>
  </cols>
  <sheetData>
    <row r="2" spans="1:9" x14ac:dyDescent="0.2">
      <c r="A2" s="2" t="s">
        <v>1</v>
      </c>
      <c r="B2" s="25" t="s">
        <v>0</v>
      </c>
      <c r="C2" s="25"/>
      <c r="D2" s="25"/>
      <c r="E2" s="25"/>
      <c r="F2" s="25"/>
      <c r="G2" s="25"/>
      <c r="H2" s="25"/>
      <c r="I2" s="25"/>
    </row>
    <row r="3" spans="1:9" x14ac:dyDescent="0.2">
      <c r="A3" s="3"/>
      <c r="B3" s="25"/>
      <c r="C3" s="25"/>
      <c r="D3" s="25"/>
      <c r="E3" s="25"/>
      <c r="F3" s="25"/>
      <c r="G3" s="25"/>
      <c r="H3" s="25"/>
      <c r="I3" s="25"/>
    </row>
    <row r="4" spans="1:9" ht="15.75" thickBot="1" x14ac:dyDescent="0.25"/>
    <row r="5" spans="1:9" x14ac:dyDescent="0.2">
      <c r="B5" s="29" t="s">
        <v>2</v>
      </c>
      <c r="C5" s="30" t="s">
        <v>3</v>
      </c>
      <c r="D5" s="31" t="s">
        <v>9</v>
      </c>
    </row>
    <row r="6" spans="1:9" x14ac:dyDescent="0.2">
      <c r="B6" s="5" t="s">
        <v>4</v>
      </c>
      <c r="C6" s="4">
        <v>45</v>
      </c>
      <c r="D6" s="47" t="str">
        <f>IF(C6&gt;=40,"Pass","Fail")</f>
        <v>Pass</v>
      </c>
    </row>
    <row r="7" spans="1:9" x14ac:dyDescent="0.2">
      <c r="B7" s="5" t="s">
        <v>5</v>
      </c>
      <c r="C7" s="4">
        <v>72</v>
      </c>
      <c r="D7" s="47" t="str">
        <f t="shared" ref="D7:D10" si="0">IF(C7&gt;=40,"Pass","Fail")</f>
        <v>Pass</v>
      </c>
    </row>
    <row r="8" spans="1:9" x14ac:dyDescent="0.2">
      <c r="B8" s="5" t="s">
        <v>6</v>
      </c>
      <c r="C8" s="4">
        <v>55</v>
      </c>
      <c r="D8" s="47" t="str">
        <f t="shared" si="0"/>
        <v>Pass</v>
      </c>
    </row>
    <row r="9" spans="1:9" x14ac:dyDescent="0.2">
      <c r="B9" s="5" t="s">
        <v>7</v>
      </c>
      <c r="C9" s="4">
        <v>80</v>
      </c>
      <c r="D9" s="47" t="str">
        <f t="shared" si="0"/>
        <v>Pass</v>
      </c>
    </row>
    <row r="10" spans="1:9" ht="15.75" thickBot="1" x14ac:dyDescent="0.25">
      <c r="B10" s="6" t="s">
        <v>8</v>
      </c>
      <c r="C10" s="7">
        <v>30</v>
      </c>
      <c r="D10" s="48" t="str">
        <f t="shared" si="0"/>
        <v>Fail</v>
      </c>
    </row>
    <row r="12" spans="1:9" ht="15" customHeight="1" x14ac:dyDescent="0.2">
      <c r="A12" s="2" t="s">
        <v>10</v>
      </c>
      <c r="B12" s="26" t="s">
        <v>11</v>
      </c>
      <c r="C12" s="26"/>
      <c r="D12" s="26"/>
      <c r="E12" s="26"/>
      <c r="F12" s="26"/>
      <c r="G12" s="26"/>
      <c r="H12" s="26"/>
      <c r="I12" s="26"/>
    </row>
    <row r="13" spans="1:9" x14ac:dyDescent="0.2">
      <c r="B13" s="26"/>
      <c r="C13" s="26"/>
      <c r="D13" s="26"/>
      <c r="E13" s="26"/>
      <c r="F13" s="26"/>
      <c r="G13" s="26"/>
      <c r="H13" s="26"/>
      <c r="I13" s="26"/>
    </row>
    <row r="14" spans="1:9" ht="15.75" thickBot="1" x14ac:dyDescent="0.25">
      <c r="B14" s="8"/>
      <c r="C14" s="8"/>
      <c r="D14" s="8"/>
      <c r="E14" s="8"/>
      <c r="F14" s="8"/>
      <c r="G14" s="8"/>
      <c r="H14" s="8"/>
      <c r="I14" s="8"/>
    </row>
    <row r="15" spans="1:9" x14ac:dyDescent="0.2">
      <c r="B15" s="29" t="s">
        <v>12</v>
      </c>
      <c r="C15" s="30" t="s">
        <v>13</v>
      </c>
      <c r="D15" s="30" t="s">
        <v>14</v>
      </c>
      <c r="E15" s="32" t="s">
        <v>19</v>
      </c>
    </row>
    <row r="16" spans="1:9" x14ac:dyDescent="0.2">
      <c r="B16" s="5" t="s">
        <v>15</v>
      </c>
      <c r="C16" s="11">
        <v>55000</v>
      </c>
      <c r="D16" s="9">
        <v>0.95</v>
      </c>
      <c r="E16" s="47" t="str">
        <f>IF(AND(C16&gt;=40000,D16&gt;=90),"Bonus","No Bonus")</f>
        <v>No Bonus</v>
      </c>
    </row>
    <row r="17" spans="1:9" x14ac:dyDescent="0.2">
      <c r="B17" s="5" t="s">
        <v>16</v>
      </c>
      <c r="C17" s="11">
        <v>65000</v>
      </c>
      <c r="D17" s="9">
        <v>0.85</v>
      </c>
      <c r="E17" s="47" t="str">
        <f>IF(AND(C16&gt;=40000,D16&gt;=90%),"Bonus","No Bonus")</f>
        <v>Bonus</v>
      </c>
    </row>
    <row r="18" spans="1:9" x14ac:dyDescent="0.2">
      <c r="B18" s="5" t="s">
        <v>17</v>
      </c>
      <c r="C18" s="11">
        <v>30000</v>
      </c>
      <c r="D18" s="9">
        <v>0.9</v>
      </c>
      <c r="E18" s="47" t="str">
        <f t="shared" ref="E18:E19" si="1">IF(AND(C17&gt;=40000,D17&gt;=90%),"Bonus","No Bonus")</f>
        <v>No Bonus</v>
      </c>
    </row>
    <row r="19" spans="1:9" ht="15.75" thickBot="1" x14ac:dyDescent="0.25">
      <c r="B19" s="6" t="s">
        <v>18</v>
      </c>
      <c r="C19" s="12">
        <v>25000</v>
      </c>
      <c r="D19" s="10">
        <v>0.65</v>
      </c>
      <c r="E19" s="48" t="str">
        <f t="shared" si="1"/>
        <v>No Bonus</v>
      </c>
    </row>
    <row r="21" spans="1:9" x14ac:dyDescent="0.2">
      <c r="A21" s="2" t="s">
        <v>20</v>
      </c>
      <c r="B21" s="1" t="s">
        <v>21</v>
      </c>
      <c r="C21" s="1"/>
      <c r="D21" s="1"/>
      <c r="E21" s="1"/>
      <c r="F21" s="1"/>
      <c r="G21" s="1"/>
    </row>
    <row r="22" spans="1:9" x14ac:dyDescent="0.2">
      <c r="B22" s="27" t="s">
        <v>22</v>
      </c>
      <c r="C22" s="27"/>
      <c r="D22" s="27"/>
      <c r="E22" s="27"/>
      <c r="F22" s="27"/>
      <c r="G22" s="27"/>
      <c r="H22" s="27"/>
    </row>
    <row r="23" spans="1:9" ht="15.75" thickBot="1" x14ac:dyDescent="0.25"/>
    <row r="24" spans="1:9" x14ac:dyDescent="0.2">
      <c r="B24" s="29" t="s">
        <v>23</v>
      </c>
      <c r="C24" s="30" t="s">
        <v>24</v>
      </c>
      <c r="D24" s="31" t="s">
        <v>9</v>
      </c>
    </row>
    <row r="25" spans="1:9" x14ac:dyDescent="0.2">
      <c r="B25" s="13" t="s">
        <v>25</v>
      </c>
      <c r="C25" s="14">
        <v>85</v>
      </c>
      <c r="D25" s="49" t="str" cm="1">
        <f t="array" ref="D25">_xlfn.IFS(C25&gt;=90,"A",C25&gt;=75,"B",C25&gt;=50,"C",C25&lt;50,"Fail")</f>
        <v>B</v>
      </c>
    </row>
    <row r="26" spans="1:9" x14ac:dyDescent="0.2">
      <c r="B26" s="13" t="s">
        <v>26</v>
      </c>
      <c r="C26" s="14">
        <v>96</v>
      </c>
      <c r="D26" s="49" t="str" cm="1">
        <f t="array" ref="D26">_xlfn.IFS(C26&gt;=90,"A",C26&gt;=75,"B",C26&gt;=50,"C",C26&lt;50,"Fail")</f>
        <v>A</v>
      </c>
    </row>
    <row r="27" spans="1:9" x14ac:dyDescent="0.2">
      <c r="B27" s="13" t="s">
        <v>27</v>
      </c>
      <c r="C27" s="14">
        <v>57</v>
      </c>
      <c r="D27" s="49" t="str" cm="1">
        <f t="array" ref="D27">_xlfn.IFS(C27&gt;=90,"A",C27&gt;=75,"B",C27&gt;=50,"C",C27&lt;50,"Fail")</f>
        <v>C</v>
      </c>
    </row>
    <row r="28" spans="1:9" x14ac:dyDescent="0.2">
      <c r="B28" s="13" t="s">
        <v>28</v>
      </c>
      <c r="C28" s="14">
        <v>92</v>
      </c>
      <c r="D28" s="49" t="str" cm="1">
        <f t="array" ref="D28">_xlfn.IFS(C28&gt;=90,"A",C28&gt;=75,"B",C28&gt;=50,"C",C28&lt;50,"Fail")</f>
        <v>A</v>
      </c>
    </row>
    <row r="29" spans="1:9" ht="15.75" thickBot="1" x14ac:dyDescent="0.25">
      <c r="B29" s="16" t="s">
        <v>29</v>
      </c>
      <c r="C29" s="17">
        <v>75</v>
      </c>
      <c r="D29" s="50" t="str" cm="1">
        <f t="array" ref="D29">_xlfn.IFS(C29&gt;=90,"A",C29&gt;=75,"B",C29&gt;=50,"C",C29&lt;50,"Fail")</f>
        <v>B</v>
      </c>
    </row>
    <row r="31" spans="1:9" ht="15" customHeight="1" x14ac:dyDescent="0.2">
      <c r="A31" s="2" t="s">
        <v>30</v>
      </c>
      <c r="B31" s="24" t="s">
        <v>31</v>
      </c>
      <c r="C31" s="24"/>
      <c r="D31" s="24"/>
      <c r="E31" s="24"/>
      <c r="F31" s="24"/>
      <c r="G31" s="24"/>
      <c r="H31" s="24"/>
      <c r="I31" s="24"/>
    </row>
    <row r="32" spans="1:9" x14ac:dyDescent="0.2">
      <c r="B32" s="20"/>
      <c r="C32" s="20"/>
      <c r="D32" s="20"/>
      <c r="E32" s="20"/>
      <c r="F32" s="20"/>
      <c r="G32" s="20"/>
      <c r="H32" s="20"/>
      <c r="I32" s="20"/>
    </row>
    <row r="33" spans="1:9" x14ac:dyDescent="0.2">
      <c r="B33" s="35" t="s">
        <v>32</v>
      </c>
      <c r="C33" s="36" t="s">
        <v>33</v>
      </c>
      <c r="D33" s="37" t="s">
        <v>34</v>
      </c>
    </row>
    <row r="34" spans="1:9" x14ac:dyDescent="0.2">
      <c r="B34" s="13" t="s">
        <v>35</v>
      </c>
      <c r="C34" s="14" t="s">
        <v>6</v>
      </c>
      <c r="D34" s="15" t="s">
        <v>41</v>
      </c>
    </row>
    <row r="35" spans="1:9" x14ac:dyDescent="0.2">
      <c r="B35" s="13" t="s">
        <v>36</v>
      </c>
      <c r="C35" s="14" t="s">
        <v>4</v>
      </c>
      <c r="D35" s="15" t="s">
        <v>42</v>
      </c>
    </row>
    <row r="36" spans="1:9" x14ac:dyDescent="0.2">
      <c r="B36" s="13" t="s">
        <v>37</v>
      </c>
      <c r="C36" s="14" t="s">
        <v>39</v>
      </c>
      <c r="D36" s="15" t="s">
        <v>43</v>
      </c>
    </row>
    <row r="37" spans="1:9" ht="15.75" thickBot="1" x14ac:dyDescent="0.25">
      <c r="B37" s="16" t="s">
        <v>38</v>
      </c>
      <c r="C37" s="17" t="s">
        <v>40</v>
      </c>
      <c r="D37" s="18" t="s">
        <v>13</v>
      </c>
    </row>
    <row r="38" spans="1:9" ht="15.75" thickBot="1" x14ac:dyDescent="0.25"/>
    <row r="39" spans="1:9" x14ac:dyDescent="0.2">
      <c r="A39" s="19" t="s">
        <v>44</v>
      </c>
      <c r="B39" s="38" t="s">
        <v>32</v>
      </c>
      <c r="C39" s="39" t="s">
        <v>34</v>
      </c>
    </row>
    <row r="40" spans="1:9" ht="15.75" thickBot="1" x14ac:dyDescent="0.25">
      <c r="B40" s="6" t="s">
        <v>37</v>
      </c>
      <c r="C40" s="48" t="str">
        <f>VLOOKUP(B40,B33:D37,3,FALSE())</f>
        <v xml:space="preserve">Finance </v>
      </c>
    </row>
    <row r="42" spans="1:9" x14ac:dyDescent="0.2">
      <c r="B42" s="28" t="s">
        <v>45</v>
      </c>
      <c r="C42" s="28"/>
      <c r="D42" s="28"/>
      <c r="E42" s="28"/>
      <c r="F42" s="28"/>
      <c r="G42" s="28"/>
      <c r="H42" s="28"/>
      <c r="I42" s="28"/>
    </row>
    <row r="43" spans="1:9" x14ac:dyDescent="0.2">
      <c r="B43" s="28"/>
      <c r="C43" s="28"/>
      <c r="D43" s="28"/>
      <c r="E43" s="28"/>
      <c r="F43" s="28"/>
      <c r="G43" s="28"/>
      <c r="H43" s="28"/>
      <c r="I43" s="28"/>
    </row>
    <row r="45" spans="1:9" x14ac:dyDescent="0.2">
      <c r="A45" s="2" t="s">
        <v>46</v>
      </c>
      <c r="B45" s="23" t="s">
        <v>47</v>
      </c>
      <c r="C45" s="23"/>
      <c r="D45" s="23"/>
      <c r="E45" s="23"/>
      <c r="F45" s="23"/>
      <c r="G45" s="23"/>
      <c r="H45" s="23"/>
      <c r="I45" s="23"/>
    </row>
    <row r="46" spans="1:9" ht="15.75" thickBot="1" x14ac:dyDescent="0.25"/>
    <row r="47" spans="1:9" x14ac:dyDescent="0.2">
      <c r="B47" s="33" t="s">
        <v>48</v>
      </c>
      <c r="C47" s="34" t="s">
        <v>49</v>
      </c>
    </row>
    <row r="48" spans="1:9" x14ac:dyDescent="0.2">
      <c r="B48" s="13">
        <v>0</v>
      </c>
      <c r="C48" s="21">
        <v>0</v>
      </c>
    </row>
    <row r="49" spans="1:9" x14ac:dyDescent="0.2">
      <c r="B49" s="13">
        <v>20000</v>
      </c>
      <c r="C49" s="21">
        <v>0.1</v>
      </c>
    </row>
    <row r="50" spans="1:9" x14ac:dyDescent="0.2">
      <c r="B50" s="13">
        <v>50000</v>
      </c>
      <c r="C50" s="21">
        <v>0.15</v>
      </c>
    </row>
    <row r="51" spans="1:9" ht="15.75" thickBot="1" x14ac:dyDescent="0.25">
      <c r="B51" s="16">
        <v>80000</v>
      </c>
      <c r="C51" s="22">
        <v>0.2</v>
      </c>
    </row>
    <row r="53" spans="1:9" x14ac:dyDescent="0.2">
      <c r="B53" s="25" t="s">
        <v>50</v>
      </c>
      <c r="C53" s="25"/>
      <c r="D53" s="25"/>
      <c r="E53" s="25"/>
      <c r="F53" s="25"/>
      <c r="G53" s="25"/>
      <c r="H53" s="25"/>
      <c r="I53" s="25"/>
    </row>
    <row r="54" spans="1:9" x14ac:dyDescent="0.2">
      <c r="B54" s="25"/>
      <c r="C54" s="25"/>
      <c r="D54" s="25"/>
      <c r="E54" s="25"/>
      <c r="F54" s="25"/>
      <c r="G54" s="25"/>
      <c r="H54" s="25"/>
      <c r="I54" s="25"/>
    </row>
    <row r="55" spans="1:9" ht="15.75" thickBot="1" x14ac:dyDescent="0.25"/>
    <row r="56" spans="1:9" x14ac:dyDescent="0.2">
      <c r="A56" s="19" t="s">
        <v>44</v>
      </c>
      <c r="B56" s="40" t="s">
        <v>48</v>
      </c>
      <c r="C56" s="41" t="s">
        <v>49</v>
      </c>
    </row>
    <row r="57" spans="1:9" ht="15.75" thickBot="1" x14ac:dyDescent="0.25">
      <c r="B57" s="16">
        <v>45000</v>
      </c>
      <c r="C57" s="51">
        <f>VLOOKUP(B57,B47:C51,2,TRUE())</f>
        <v>0.1</v>
      </c>
    </row>
    <row r="59" spans="1:9" x14ac:dyDescent="0.2">
      <c r="A59" s="2" t="s">
        <v>51</v>
      </c>
      <c r="B59" s="23" t="s">
        <v>52</v>
      </c>
      <c r="C59" s="23"/>
      <c r="D59" s="23"/>
      <c r="E59" s="23"/>
      <c r="F59" s="23"/>
      <c r="G59" s="23"/>
      <c r="H59" s="23"/>
      <c r="I59" s="23"/>
    </row>
    <row r="60" spans="1:9" ht="15.75" thickBot="1" x14ac:dyDescent="0.25"/>
    <row r="61" spans="1:9" x14ac:dyDescent="0.2">
      <c r="B61" s="42" t="s">
        <v>53</v>
      </c>
      <c r="C61" s="43" t="s">
        <v>54</v>
      </c>
      <c r="D61" s="44" t="s">
        <v>55</v>
      </c>
    </row>
    <row r="62" spans="1:9" x14ac:dyDescent="0.2">
      <c r="B62" s="13" t="s">
        <v>56</v>
      </c>
      <c r="C62" s="14">
        <v>10</v>
      </c>
      <c r="D62" s="15">
        <v>12</v>
      </c>
    </row>
    <row r="63" spans="1:9" x14ac:dyDescent="0.2">
      <c r="B63" s="13" t="s">
        <v>57</v>
      </c>
      <c r="C63" s="14">
        <v>10</v>
      </c>
      <c r="D63" s="15">
        <v>15</v>
      </c>
    </row>
    <row r="64" spans="1:9" ht="15.75" thickBot="1" x14ac:dyDescent="0.25">
      <c r="B64" s="16" t="s">
        <v>58</v>
      </c>
      <c r="C64" s="17">
        <v>8</v>
      </c>
      <c r="D64" s="18">
        <v>12</v>
      </c>
    </row>
    <row r="66" spans="1:9" x14ac:dyDescent="0.2">
      <c r="B66" s="23" t="s">
        <v>59</v>
      </c>
      <c r="C66" s="23"/>
      <c r="D66" s="23"/>
      <c r="E66" s="23"/>
      <c r="F66" s="23"/>
      <c r="G66" s="23"/>
      <c r="H66" s="23"/>
      <c r="I66" s="23"/>
    </row>
    <row r="67" spans="1:9" x14ac:dyDescent="0.2">
      <c r="B67" s="23" t="s">
        <v>60</v>
      </c>
      <c r="C67" s="23"/>
      <c r="D67" s="23"/>
      <c r="E67" s="23"/>
    </row>
    <row r="68" spans="1:9" x14ac:dyDescent="0.2">
      <c r="B68" s="27" t="s">
        <v>61</v>
      </c>
      <c r="C68" s="27"/>
    </row>
    <row r="69" spans="1:9" ht="15.75" thickBot="1" x14ac:dyDescent="0.25"/>
    <row r="70" spans="1:9" x14ac:dyDescent="0.2">
      <c r="A70" s="19" t="s">
        <v>44</v>
      </c>
      <c r="B70" s="29" t="s">
        <v>53</v>
      </c>
      <c r="C70" s="30" t="s">
        <v>54</v>
      </c>
      <c r="D70" s="30" t="s">
        <v>55</v>
      </c>
      <c r="E70" s="31" t="s">
        <v>62</v>
      </c>
    </row>
    <row r="71" spans="1:9" x14ac:dyDescent="0.2">
      <c r="B71" s="13" t="s">
        <v>56</v>
      </c>
      <c r="C71" s="14">
        <v>10</v>
      </c>
      <c r="D71" s="14">
        <v>12</v>
      </c>
      <c r="E71" s="47" t="str">
        <f>IF(D71&gt;C71,"OK","Exceeded")</f>
        <v>OK</v>
      </c>
    </row>
    <row r="72" spans="1:9" x14ac:dyDescent="0.2">
      <c r="B72" s="13" t="s">
        <v>57</v>
      </c>
      <c r="C72" s="14">
        <v>10</v>
      </c>
      <c r="D72" s="14">
        <v>15</v>
      </c>
      <c r="E72" s="47" t="str">
        <f t="shared" ref="E72:E73" si="2">IF(D72&gt;C72,"OK","Exceeded")</f>
        <v>OK</v>
      </c>
    </row>
    <row r="73" spans="1:9" ht="15.75" thickBot="1" x14ac:dyDescent="0.25">
      <c r="B73" s="16" t="s">
        <v>58</v>
      </c>
      <c r="C73" s="17">
        <v>8</v>
      </c>
      <c r="D73" s="17">
        <v>12</v>
      </c>
      <c r="E73" s="48" t="str">
        <f t="shared" si="2"/>
        <v>OK</v>
      </c>
    </row>
    <row r="75" spans="1:9" x14ac:dyDescent="0.2">
      <c r="A75" s="2" t="s">
        <v>64</v>
      </c>
      <c r="B75" s="23" t="s">
        <v>63</v>
      </c>
      <c r="C75" s="23"/>
      <c r="D75" s="23"/>
      <c r="E75" s="23"/>
      <c r="F75" s="23"/>
      <c r="G75" s="23"/>
    </row>
    <row r="76" spans="1:9" ht="15.75" thickBot="1" x14ac:dyDescent="0.25"/>
    <row r="77" spans="1:9" x14ac:dyDescent="0.2">
      <c r="B77" s="45" t="s">
        <v>32</v>
      </c>
      <c r="C77" s="46" t="s">
        <v>65</v>
      </c>
    </row>
    <row r="78" spans="1:9" x14ac:dyDescent="0.2">
      <c r="B78" s="13" t="s">
        <v>38</v>
      </c>
      <c r="C78" s="15">
        <v>55000</v>
      </c>
    </row>
    <row r="79" spans="1:9" x14ac:dyDescent="0.2">
      <c r="B79" s="13" t="s">
        <v>66</v>
      </c>
      <c r="C79" s="15">
        <v>72000</v>
      </c>
    </row>
    <row r="80" spans="1:9" x14ac:dyDescent="0.2">
      <c r="B80" s="13" t="s">
        <v>67</v>
      </c>
      <c r="C80" s="15">
        <v>62000</v>
      </c>
    </row>
    <row r="81" spans="1:7" ht="15.75" thickBot="1" x14ac:dyDescent="0.25">
      <c r="B81" s="16" t="s">
        <v>36</v>
      </c>
      <c r="C81" s="18">
        <v>41000</v>
      </c>
    </row>
    <row r="82" spans="1:7" ht="15.75" thickBot="1" x14ac:dyDescent="0.25"/>
    <row r="83" spans="1:7" x14ac:dyDescent="0.2">
      <c r="A83" s="19" t="s">
        <v>44</v>
      </c>
      <c r="B83" s="45" t="s">
        <v>32</v>
      </c>
      <c r="C83" s="46" t="s">
        <v>65</v>
      </c>
    </row>
    <row r="84" spans="1:7" ht="15.75" thickBot="1" x14ac:dyDescent="0.25">
      <c r="B84" s="16" t="s">
        <v>66</v>
      </c>
      <c r="C84" s="50">
        <f>INDEX(C78:C81,MATCH(B84,B78:B81,0))</f>
        <v>72000</v>
      </c>
    </row>
    <row r="86" spans="1:7" x14ac:dyDescent="0.2">
      <c r="A86" s="2" t="s">
        <v>70</v>
      </c>
      <c r="B86" s="23" t="s">
        <v>71</v>
      </c>
      <c r="C86" s="23"/>
      <c r="D86" s="23"/>
      <c r="E86" s="23"/>
      <c r="F86" s="23"/>
      <c r="G86" s="23"/>
    </row>
    <row r="87" spans="1:7" ht="15.75" thickBot="1" x14ac:dyDescent="0.25"/>
    <row r="88" spans="1:7" x14ac:dyDescent="0.2">
      <c r="B88" s="45" t="s">
        <v>32</v>
      </c>
      <c r="C88" s="46" t="s">
        <v>34</v>
      </c>
    </row>
    <row r="89" spans="1:7" x14ac:dyDescent="0.2">
      <c r="B89" s="13" t="s">
        <v>38</v>
      </c>
      <c r="C89" s="15" t="s">
        <v>42</v>
      </c>
    </row>
    <row r="90" spans="1:7" x14ac:dyDescent="0.2">
      <c r="B90" s="13" t="s">
        <v>69</v>
      </c>
      <c r="C90" s="15" t="s">
        <v>41</v>
      </c>
    </row>
    <row r="91" spans="1:7" x14ac:dyDescent="0.2">
      <c r="B91" s="13" t="s">
        <v>67</v>
      </c>
      <c r="C91" s="15" t="s">
        <v>13</v>
      </c>
    </row>
    <row r="92" spans="1:7" ht="15.75" thickBot="1" x14ac:dyDescent="0.25">
      <c r="B92" s="16" t="s">
        <v>68</v>
      </c>
      <c r="C92" s="18" t="s">
        <v>43</v>
      </c>
    </row>
    <row r="93" spans="1:7" ht="15.75" thickBot="1" x14ac:dyDescent="0.25"/>
    <row r="94" spans="1:7" x14ac:dyDescent="0.2">
      <c r="A94" s="19" t="s">
        <v>44</v>
      </c>
      <c r="B94" s="45" t="s">
        <v>32</v>
      </c>
      <c r="C94" s="46" t="s">
        <v>34</v>
      </c>
    </row>
    <row r="95" spans="1:7" ht="15.75" thickBot="1" x14ac:dyDescent="0.25">
      <c r="B95" s="16" t="s">
        <v>69</v>
      </c>
      <c r="C95" s="50" t="str">
        <f>_xlfn.XLOOKUP(B95,B89:B92,C89:C92,"Not Available",0,1)</f>
        <v>IT</v>
      </c>
    </row>
  </sheetData>
  <mergeCells count="13">
    <mergeCell ref="B75:G75"/>
    <mergeCell ref="B86:G86"/>
    <mergeCell ref="B31:I31"/>
    <mergeCell ref="B2:I3"/>
    <mergeCell ref="B12:I13"/>
    <mergeCell ref="B22:H22"/>
    <mergeCell ref="B42:I43"/>
    <mergeCell ref="B66:I66"/>
    <mergeCell ref="B67:E67"/>
    <mergeCell ref="B68:C68"/>
    <mergeCell ref="B59:I59"/>
    <mergeCell ref="B45:I45"/>
    <mergeCell ref="B53:I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Anas</dc:creator>
  <dcterms:created xsi:type="dcterms:W3CDTF">2026-01-14T21:42:48Z</dcterms:created>
</cp:coreProperties>
</file>